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200\Dropbox\2016\基礎式から学ぶ化学工学\基礎化工用Excel\"/>
    </mc:Choice>
  </mc:AlternateContent>
  <bookViews>
    <workbookView xWindow="720" yWindow="1215" windowWidth="16590" windowHeight="11400"/>
  </bookViews>
  <sheets>
    <sheet name="例題2.18 層流境界層方程式" sheetId="3" r:id="rId1"/>
  </sheets>
  <functionGroups builtInGroupCount="18"/>
  <calcPr calcId="162913"/>
</workbook>
</file>

<file path=xl/calcChain.xml><?xml version="1.0" encoding="utf-8"?>
<calcChain xmlns="http://schemas.openxmlformats.org/spreadsheetml/2006/main">
  <c r="L13" i="3" l="1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12" i="3"/>
  <c r="I6" i="3"/>
  <c r="I7" i="3"/>
  <c r="M13" i="3"/>
  <c r="B5" i="3"/>
  <c r="C5" i="3"/>
  <c r="D5" i="3"/>
  <c r="K24" i="3"/>
  <c r="M58" i="3"/>
  <c r="M50" i="3"/>
  <c r="M42" i="3"/>
  <c r="M34" i="3"/>
  <c r="M26" i="3"/>
  <c r="M18" i="3"/>
  <c r="M60" i="3"/>
  <c r="M44" i="3"/>
  <c r="K59" i="3"/>
  <c r="M59" i="3"/>
  <c r="M35" i="3"/>
  <c r="K61" i="3"/>
  <c r="K56" i="3"/>
  <c r="K53" i="3"/>
  <c r="K34" i="3"/>
  <c r="K51" i="3"/>
  <c r="K19" i="3"/>
  <c r="K54" i="3"/>
  <c r="K52" i="3"/>
  <c r="K20" i="3"/>
  <c r="M57" i="3"/>
  <c r="M49" i="3"/>
  <c r="M41" i="3"/>
  <c r="M33" i="3"/>
  <c r="M25" i="3"/>
  <c r="M17" i="3"/>
  <c r="K13" i="3"/>
  <c r="K26" i="3"/>
  <c r="M28" i="3"/>
  <c r="M51" i="3"/>
  <c r="K23" i="3"/>
  <c r="K62" i="3"/>
  <c r="K45" i="3"/>
  <c r="K22" i="3"/>
  <c r="K47" i="3"/>
  <c r="K15" i="3"/>
  <c r="K50" i="3"/>
  <c r="K48" i="3"/>
  <c r="K16" i="3"/>
  <c r="M56" i="3"/>
  <c r="M48" i="3"/>
  <c r="M40" i="3"/>
  <c r="M32" i="3"/>
  <c r="M24" i="3"/>
  <c r="M16" i="3"/>
  <c r="K17" i="3"/>
  <c r="K32" i="3"/>
  <c r="M36" i="3"/>
  <c r="K27" i="3"/>
  <c r="K60" i="3"/>
  <c r="M19" i="3"/>
  <c r="K18" i="3"/>
  <c r="K43" i="3"/>
  <c r="K57" i="3"/>
  <c r="K46" i="3"/>
  <c r="K44" i="3"/>
  <c r="M12" i="3"/>
  <c r="M55" i="3"/>
  <c r="M47" i="3"/>
  <c r="M39" i="3"/>
  <c r="M31" i="3"/>
  <c r="M23" i="3"/>
  <c r="M15" i="3"/>
  <c r="K33" i="3"/>
  <c r="M20" i="3"/>
  <c r="K25" i="3"/>
  <c r="M27" i="3"/>
  <c r="K55" i="3"/>
  <c r="K37" i="3"/>
  <c r="K29" i="3"/>
  <c r="K14" i="3"/>
  <c r="K39" i="3"/>
  <c r="K49" i="3"/>
  <c r="K38" i="3"/>
  <c r="K40" i="3"/>
  <c r="M62" i="3"/>
  <c r="M54" i="3"/>
  <c r="M46" i="3"/>
  <c r="M38" i="3"/>
  <c r="M30" i="3"/>
  <c r="M22" i="3"/>
  <c r="M14" i="3"/>
  <c r="K31" i="3"/>
  <c r="M52" i="3"/>
  <c r="K58" i="3"/>
  <c r="K28" i="3"/>
  <c r="M43" i="3"/>
  <c r="K42" i="3"/>
  <c r="K21" i="3"/>
  <c r="K12" i="3"/>
  <c r="K35" i="3"/>
  <c r="K41" i="3"/>
  <c r="K30" i="3"/>
  <c r="K36" i="3"/>
  <c r="M61" i="3"/>
  <c r="M53" i="3"/>
  <c r="M45" i="3"/>
  <c r="M37" i="3"/>
  <c r="M29" i="3"/>
  <c r="M21" i="3"/>
</calcChain>
</file>

<file path=xl/comments1.xml><?xml version="1.0" encoding="utf-8"?>
<comments xmlns="http://schemas.openxmlformats.org/spreadsheetml/2006/main">
  <authors>
    <author>aito</author>
  </authors>
  <commentList>
    <comment ref="B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=C3
</t>
        </r>
      </text>
    </comment>
    <comment ref="C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=D3
</t>
        </r>
      </text>
    </comment>
    <comment ref="D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=-(1/2)*B3*D3
</t>
        </r>
      </text>
    </comment>
  </commentList>
</comments>
</file>

<file path=xl/sharedStrings.xml><?xml version="1.0" encoding="utf-8"?>
<sst xmlns="http://schemas.openxmlformats.org/spreadsheetml/2006/main" count="35" uniqueCount="35">
  <si>
    <t>微分方程式数</t>
    <rPh sb="0" eb="2">
      <t>ビブン</t>
    </rPh>
    <rPh sb="2" eb="5">
      <t>ホウテイシキ</t>
    </rPh>
    <rPh sb="5" eb="6">
      <t>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</si>
  <si>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</si>
  <si>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</si>
  <si>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定数</t>
    <rPh sb="0" eb="2">
      <t>テイスウ</t>
    </rPh>
    <phoneticPr fontId="2"/>
  </si>
  <si>
    <t>積分区間η=[a,</t>
    <rPh sb="0" eb="2">
      <t>セキブン</t>
    </rPh>
    <rPh sb="2" eb="4">
      <t>クカン</t>
    </rPh>
    <phoneticPr fontId="2"/>
  </si>
  <si>
    <t>区間分割数</t>
    <rPh sb="0" eb="2">
      <t>クカン</t>
    </rPh>
    <rPh sb="2" eb="4">
      <t>ブンカツ</t>
    </rPh>
    <rPh sb="4" eb="5">
      <t>スウ</t>
    </rPh>
    <phoneticPr fontId="2"/>
  </si>
  <si>
    <t>η=</t>
    <phoneticPr fontId="2"/>
  </si>
  <si>
    <t>f=</t>
    <phoneticPr fontId="2"/>
  </si>
  <si>
    <t>f'=</t>
    <phoneticPr fontId="2"/>
  </si>
  <si>
    <t>f''=</t>
    <phoneticPr fontId="2"/>
  </si>
  <si>
    <t>x=</t>
    <phoneticPr fontId="2"/>
  </si>
  <si>
    <t>m</t>
    <phoneticPr fontId="2"/>
  </si>
  <si>
    <t>U∞=</t>
    <phoneticPr fontId="2"/>
  </si>
  <si>
    <t>m/s</t>
    <phoneticPr fontId="2"/>
  </si>
  <si>
    <t>ρ=</t>
    <phoneticPr fontId="2"/>
  </si>
  <si>
    <t>kg/m3</t>
    <phoneticPr fontId="2"/>
  </si>
  <si>
    <t>μ=</t>
    <phoneticPr fontId="2"/>
  </si>
  <si>
    <t>Pa-s</t>
    <phoneticPr fontId="2"/>
  </si>
  <si>
    <t>ν=</t>
    <phoneticPr fontId="2"/>
  </si>
  <si>
    <t>b]</t>
    <phoneticPr fontId="2"/>
  </si>
  <si>
    <t>(U∞/(νx))^0.5</t>
    <phoneticPr fontId="2"/>
  </si>
  <si>
    <t>η</t>
    <phoneticPr fontId="2"/>
  </si>
  <si>
    <t>f</t>
    <phoneticPr fontId="2"/>
  </si>
  <si>
    <t>f'</t>
    <phoneticPr fontId="2"/>
  </si>
  <si>
    <t>f''</t>
    <phoneticPr fontId="2"/>
  </si>
  <si>
    <t>y[mm]</t>
    <phoneticPr fontId="2"/>
  </si>
  <si>
    <t>m2/s</t>
    <phoneticPr fontId="2"/>
  </si>
  <si>
    <t>(f)'=</t>
    <phoneticPr fontId="2"/>
  </si>
  <si>
    <t>(f')'=</t>
    <phoneticPr fontId="2"/>
  </si>
  <si>
    <t>(f'')'=</t>
    <phoneticPr fontId="2"/>
  </si>
  <si>
    <t>f'</t>
  </si>
  <si>
    <t>f''</t>
  </si>
  <si>
    <t>u [m/s]</t>
    <phoneticPr fontId="2"/>
  </si>
  <si>
    <t>v [m/s]</t>
    <phoneticPr fontId="2"/>
  </si>
  <si>
    <t>(Howarth soluiton)(Boundary Layer theory, 7th ed, p. 139 (1979)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</si>
</sst>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0_ "/>
    <numFmt numFmtId="177" formatCode="0.0_ "/>
    <numFmt numFmtId="178" formatCode="0.00_);[Red]\(0.00\)"/>
    <numFmt numFmtId="179" formatCode="0.0000_ "/>
    <numFmt numFmtId="180" formatCode="0.000_);[Red]\(0.000\)"/>
    <numFmt numFmtId="181" formatCode="0.000000_);[Red]\(0.000000\)"/>
    <numFmt numFmtId="182" formatCode="0.00000_ "/>
    <numFmt numFmtId="183" formatCode="0.000000_ "/>
  </numFmts>
  <fonts count="8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0"/>
      <color indexed="12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9">
    <xf numFmtId="0" fontId="0" fillId="0" borderId="0" xfId="0">
      <alignment vertical="center"/>
    </xf>
    <xf numFmtId="0" fontId="3" fillId="0" borderId="0" xfId="2" applyNumberFormat="1" applyFont="1"/>
    <xf numFmtId="0" fontId="3" fillId="0" borderId="1" xfId="2" applyNumberFormat="1" applyFont="1" applyBorder="1"/>
    <xf numFmtId="0" fontId="3" fillId="0" borderId="2" xfId="2" applyNumberFormat="1" applyFont="1" applyBorder="1"/>
    <xf numFmtId="0" fontId="3" fillId="0" borderId="3" xfId="2" applyNumberFormat="1" applyFont="1" applyBorder="1"/>
    <xf numFmtId="0" fontId="3" fillId="0" borderId="0" xfId="2" applyNumberFormat="1" applyFont="1" applyAlignment="1">
      <alignment horizontal="right"/>
    </xf>
    <xf numFmtId="0" fontId="3" fillId="0" borderId="0" xfId="2" applyNumberFormat="1" applyFont="1" applyBorder="1"/>
    <xf numFmtId="0" fontId="3" fillId="0" borderId="4" xfId="2" applyNumberFormat="1" applyFont="1" applyBorder="1"/>
    <xf numFmtId="0" fontId="3" fillId="0" borderId="5" xfId="2" applyNumberFormat="1" applyFont="1" applyBorder="1"/>
    <xf numFmtId="0" fontId="3" fillId="0" borderId="6" xfId="2" applyNumberFormat="1" applyFont="1" applyBorder="1"/>
    <xf numFmtId="0" fontId="3" fillId="0" borderId="7" xfId="2" applyNumberFormat="1" applyFont="1" applyBorder="1"/>
    <xf numFmtId="0" fontId="0" fillId="0" borderId="0" xfId="0" applyNumberFormat="1">
      <alignment vertical="center"/>
    </xf>
    <xf numFmtId="176" fontId="3" fillId="0" borderId="0" xfId="2" applyNumberFormat="1" applyFont="1"/>
    <xf numFmtId="0" fontId="3" fillId="0" borderId="0" xfId="2" applyFont="1"/>
    <xf numFmtId="178" fontId="3" fillId="0" borderId="0" xfId="2" applyNumberFormat="1" applyFont="1"/>
    <xf numFmtId="179" fontId="3" fillId="0" borderId="0" xfId="2" applyNumberFormat="1" applyFont="1"/>
    <xf numFmtId="0" fontId="5" fillId="0" borderId="0" xfId="1" applyFont="1" applyAlignment="1" applyProtection="1"/>
    <xf numFmtId="181" fontId="3" fillId="0" borderId="0" xfId="2" applyNumberFormat="1" applyFont="1"/>
    <xf numFmtId="183" fontId="3" fillId="0" borderId="0" xfId="2" applyNumberFormat="1" applyFont="1"/>
    <xf numFmtId="11" fontId="3" fillId="0" borderId="0" xfId="2" applyNumberFormat="1" applyFont="1"/>
    <xf numFmtId="0" fontId="6" fillId="0" borderId="0" xfId="2" applyNumberFormat="1" applyFont="1"/>
    <xf numFmtId="180" fontId="6" fillId="0" borderId="0" xfId="2" applyNumberFormat="1" applyFont="1"/>
    <xf numFmtId="176" fontId="3" fillId="0" borderId="2" xfId="2" applyNumberFormat="1" applyFont="1" applyBorder="1"/>
    <xf numFmtId="176" fontId="3" fillId="0" borderId="7" xfId="2" applyNumberFormat="1" applyFont="1" applyBorder="1"/>
    <xf numFmtId="176" fontId="3" fillId="0" borderId="0" xfId="2" applyNumberFormat="1" applyFont="1" applyAlignment="1">
      <alignment horizontal="right"/>
    </xf>
    <xf numFmtId="183" fontId="3" fillId="0" borderId="2" xfId="2" applyNumberFormat="1" applyFont="1" applyBorder="1"/>
    <xf numFmtId="177" fontId="3" fillId="0" borderId="0" xfId="2" applyNumberFormat="1" applyFont="1"/>
    <xf numFmtId="182" fontId="3" fillId="0" borderId="0" xfId="2" applyNumberFormat="1" applyFont="1"/>
    <xf numFmtId="180" fontId="3" fillId="0" borderId="0" xfId="2" applyNumberFormat="1" applyFont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01533736854321"/>
          <c:y val="2.9997180104553045E-2"/>
          <c:w val="0.7129144571214312"/>
          <c:h val="0.77386954729832325"/>
        </c:manualLayout>
      </c:layout>
      <c:scatterChart>
        <c:scatterStyle val="smoothMarker"/>
        <c:varyColors val="0"/>
        <c:ser>
          <c:idx val="0"/>
          <c:order val="0"/>
          <c:tx>
            <c:v>f'(=u/U∞)</c:v>
          </c:tx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'例題2.18 層流境界層方程式'!$L$12:$L$180</c:f>
              <c:numCache>
                <c:formatCode>0.000_ </c:formatCode>
                <c:ptCount val="169"/>
                <c:pt idx="0">
                  <c:v>0</c:v>
                </c:pt>
                <c:pt idx="1">
                  <c:v>1.9922497505554349E-2</c:v>
                </c:pt>
                <c:pt idx="2">
                  <c:v>3.9829567781919685E-2</c:v>
                </c:pt>
                <c:pt idx="3">
                  <c:v>5.9681654276378018E-2</c:v>
                </c:pt>
                <c:pt idx="4">
                  <c:v>7.9413377579048677E-2</c:v>
                </c:pt>
                <c:pt idx="5">
                  <c:v>9.8934799856761471E-2</c:v>
                </c:pt>
                <c:pt idx="6">
                  <c:v>0.11813377176202666</c:v>
                </c:pt>
                <c:pt idx="7">
                  <c:v>0.1368796132476571</c:v>
                </c:pt>
                <c:pt idx="8">
                  <c:v>0.1550282538544209</c:v>
                </c:pt>
                <c:pt idx="9">
                  <c:v>0.17242878546339033</c:v>
                </c:pt>
                <c:pt idx="10">
                  <c:v>0.18893117402485196</c:v>
                </c:pt>
                <c:pt idx="11">
                  <c:v>0.20439466230829723</c:v>
                </c:pt>
                <c:pt idx="12">
                  <c:v>0.21869620982892479</c:v>
                </c:pt>
                <c:pt idx="13">
                  <c:v>0.23173819947050811</c:v>
                </c:pt>
                <c:pt idx="14">
                  <c:v>0.24345462788148048</c:v>
                </c:pt>
                <c:pt idx="15">
                  <c:v>0.25381510692984871</c:v>
                </c:pt>
                <c:pt idx="16">
                  <c:v>0.26282623022932655</c:v>
                </c:pt>
                <c:pt idx="17">
                  <c:v>0.27053016918349265</c:v>
                </c:pt>
                <c:pt idx="18">
                  <c:v>0.27700070332357513</c:v>
                </c:pt>
                <c:pt idx="19">
                  <c:v>0.28233719754612602</c:v>
                </c:pt>
                <c:pt idx="20">
                  <c:v>0.28665725872247416</c:v>
                </c:pt>
                <c:pt idx="21">
                  <c:v>0.29008890110291269</c:v>
                </c:pt>
                <c:pt idx="22">
                  <c:v>0.29276301691204332</c:v>
                </c:pt>
                <c:pt idx="23">
                  <c:v>0.29480680557371336</c:v>
                </c:pt>
                <c:pt idx="24">
                  <c:v>0.29633860138542312</c:v>
                </c:pt>
                <c:pt idx="25">
                  <c:v>0.29746430196390938</c:v>
                </c:pt>
                <c:pt idx="26">
                  <c:v>0.29827538113493995</c:v>
                </c:pt>
                <c:pt idx="27">
                  <c:v>0.29884830056890027</c:v>
                </c:pt>
                <c:pt idx="28">
                  <c:v>0.29924502901100075</c:v>
                </c:pt>
                <c:pt idx="29">
                  <c:v>0.29951433626051066</c:v>
                </c:pt>
                <c:pt idx="30">
                  <c:v>0.29969354014584954</c:v>
                </c:pt>
                <c:pt idx="31">
                  <c:v>0.29981043199857327</c:v>
                </c:pt>
                <c:pt idx="32">
                  <c:v>0.29988517204152271</c:v>
                </c:pt>
                <c:pt idx="33">
                  <c:v>0.29993201571009348</c:v>
                </c:pt>
                <c:pt idx="34">
                  <c:v>0.29996079459062136</c:v>
                </c:pt>
                <c:pt idx="35">
                  <c:v>0.29997812543579466</c:v>
                </c:pt>
                <c:pt idx="36">
                  <c:v>0.29998835567986465</c:v>
                </c:pt>
                <c:pt idx="37">
                  <c:v>0.2999942749772162</c:v>
                </c:pt>
                <c:pt idx="38">
                  <c:v>0.29999763211778641</c:v>
                </c:pt>
                <c:pt idx="39">
                  <c:v>0.29999949841616896</c:v>
                </c:pt>
                <c:pt idx="40">
                  <c:v>0.30000051537032019</c:v>
                </c:pt>
                <c:pt idx="41">
                  <c:v>0.30000105852866704</c:v>
                </c:pt>
                <c:pt idx="42">
                  <c:v>0.30000134287772467</c:v>
                </c:pt>
                <c:pt idx="43">
                  <c:v>0.30000148878339383</c:v>
                </c:pt>
                <c:pt idx="44">
                  <c:v>0.30000156216405255</c:v>
                </c:pt>
                <c:pt idx="45">
                  <c:v>0.30000159833611623</c:v>
                </c:pt>
                <c:pt idx="46">
                  <c:v>0.30000161581201146</c:v>
                </c:pt>
                <c:pt idx="47">
                  <c:v>0.30000162408707248</c:v>
                </c:pt>
                <c:pt idx="48">
                  <c:v>0.30000162792731455</c:v>
                </c:pt>
                <c:pt idx="49">
                  <c:v>0.30000162967390187</c:v>
                </c:pt>
                <c:pt idx="50">
                  <c:v>0.30000163045239281</c:v>
                </c:pt>
              </c:numCache>
            </c:numRef>
          </c:xVal>
          <c:yVal>
            <c:numRef>
              <c:f>'例題2.18 層流境界層方程式'!$K$12:$K$180</c:f>
              <c:numCache>
                <c:formatCode>0.000_ </c:formatCode>
                <c:ptCount val="169"/>
                <c:pt idx="0">
                  <c:v>0</c:v>
                </c:pt>
                <c:pt idx="1">
                  <c:v>0.18673991236957055</c:v>
                </c:pt>
                <c:pt idx="2">
                  <c:v>0.3734798247391411</c:v>
                </c:pt>
                <c:pt idx="3">
                  <c:v>0.56021973710871176</c:v>
                </c:pt>
                <c:pt idx="4">
                  <c:v>0.74695964947828219</c:v>
                </c:pt>
                <c:pt idx="5">
                  <c:v>0.93369956184785274</c:v>
                </c:pt>
                <c:pt idx="6">
                  <c:v>1.1204394742174233</c:v>
                </c:pt>
                <c:pt idx="7">
                  <c:v>1.3071793865869938</c:v>
                </c:pt>
                <c:pt idx="8">
                  <c:v>1.4939192989565642</c:v>
                </c:pt>
                <c:pt idx="9">
                  <c:v>1.6806592113261347</c:v>
                </c:pt>
                <c:pt idx="10">
                  <c:v>1.8673991236957053</c:v>
                </c:pt>
                <c:pt idx="11">
                  <c:v>2.0541390360652754</c:v>
                </c:pt>
                <c:pt idx="12">
                  <c:v>2.2408789484348466</c:v>
                </c:pt>
                <c:pt idx="13">
                  <c:v>2.4276188608044169</c:v>
                </c:pt>
                <c:pt idx="14">
                  <c:v>2.6143587731739881</c:v>
                </c:pt>
                <c:pt idx="15">
                  <c:v>2.8010986855435585</c:v>
                </c:pt>
                <c:pt idx="16">
                  <c:v>2.9878385979131292</c:v>
                </c:pt>
                <c:pt idx="17">
                  <c:v>3.1745785102827</c:v>
                </c:pt>
                <c:pt idx="18">
                  <c:v>3.3613184226522708</c:v>
                </c:pt>
                <c:pt idx="19">
                  <c:v>3.5480583350218415</c:v>
                </c:pt>
                <c:pt idx="20">
                  <c:v>3.7347982473914114</c:v>
                </c:pt>
                <c:pt idx="21">
                  <c:v>3.9215381597609822</c:v>
                </c:pt>
                <c:pt idx="22">
                  <c:v>4.1082780721305525</c:v>
                </c:pt>
                <c:pt idx="23">
                  <c:v>4.2950179845001237</c:v>
                </c:pt>
                <c:pt idx="24">
                  <c:v>4.4817578968696949</c:v>
                </c:pt>
                <c:pt idx="25">
                  <c:v>4.6684978092392653</c:v>
                </c:pt>
                <c:pt idx="26">
                  <c:v>4.8552377216088356</c:v>
                </c:pt>
                <c:pt idx="27">
                  <c:v>5.0419776339784059</c:v>
                </c:pt>
                <c:pt idx="28">
                  <c:v>5.228717546347978</c:v>
                </c:pt>
                <c:pt idx="29">
                  <c:v>5.4154574587175484</c:v>
                </c:pt>
                <c:pt idx="30">
                  <c:v>5.6021973710871187</c:v>
                </c:pt>
                <c:pt idx="31">
                  <c:v>5.788937283456689</c:v>
                </c:pt>
                <c:pt idx="32">
                  <c:v>5.9756771958262602</c:v>
                </c:pt>
                <c:pt idx="33">
                  <c:v>6.1624171081958314</c:v>
                </c:pt>
                <c:pt idx="34">
                  <c:v>6.3491570205654018</c:v>
                </c:pt>
                <c:pt idx="35">
                  <c:v>6.5358969329349721</c:v>
                </c:pt>
                <c:pt idx="36">
                  <c:v>6.7226368453045424</c:v>
                </c:pt>
                <c:pt idx="37">
                  <c:v>6.9093767576741136</c:v>
                </c:pt>
                <c:pt idx="38">
                  <c:v>7.096116670043684</c:v>
                </c:pt>
                <c:pt idx="39">
                  <c:v>7.2828565824132552</c:v>
                </c:pt>
                <c:pt idx="40">
                  <c:v>7.4695964947828246</c:v>
                </c:pt>
                <c:pt idx="41">
                  <c:v>7.6563364071523958</c:v>
                </c:pt>
                <c:pt idx="42">
                  <c:v>7.8430763195219644</c:v>
                </c:pt>
                <c:pt idx="43">
                  <c:v>8.0298162318915356</c:v>
                </c:pt>
                <c:pt idx="44">
                  <c:v>8.2165561442611033</c:v>
                </c:pt>
                <c:pt idx="45">
                  <c:v>8.4032960566306745</c:v>
                </c:pt>
                <c:pt idx="46">
                  <c:v>8.5900359690002457</c:v>
                </c:pt>
                <c:pt idx="47">
                  <c:v>8.7767758813698133</c:v>
                </c:pt>
                <c:pt idx="48">
                  <c:v>8.9635157937393846</c:v>
                </c:pt>
                <c:pt idx="49">
                  <c:v>9.1502557061089522</c:v>
                </c:pt>
                <c:pt idx="50">
                  <c:v>9.3369956184785234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FD-4F41-BB93-A235D44F7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741888"/>
        <c:axId val="1"/>
      </c:scatterChart>
      <c:valAx>
        <c:axId val="1657741888"/>
        <c:scaling>
          <c:orientation val="minMax"/>
          <c:max val="0.30000000000000004"/>
        </c:scaling>
        <c:delete val="0"/>
        <c:axPos val="b"/>
        <c:numFmt formatCode="0.0_ 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 val="autoZero"/>
        <c:crossBetween val="midCat"/>
        <c:majorUnit val="0.1"/>
        <c:minorUnit val="5.000000000000001E-2"/>
      </c:valAx>
      <c:valAx>
        <c:axId val="1"/>
        <c:scaling>
          <c:orientation val="minMax"/>
          <c:max val="8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Yu Gothic"/>
                    <a:ea typeface="Yu Gothic"/>
                    <a:cs typeface="Yu Gothic"/>
                  </a:defRPr>
                </a:pPr>
                <a:r>
                  <a:rPr lang="ja-JP" altLang="en-US" sz="11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平板面からの距離　y [mm]</a:t>
                </a:r>
              </a:p>
            </c:rich>
          </c:tx>
          <c:layout>
            <c:manualLayout>
              <c:xMode val="edge"/>
              <c:yMode val="edge"/>
              <c:x val="9.2040512682093432E-3"/>
              <c:y val="0.11675711885190064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657741888"/>
        <c:crosses val="autoZero"/>
        <c:crossBetween val="midCat"/>
        <c:minorUnit val="0.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812344765629129"/>
          <c:y val="4.8499547188754571E-2"/>
          <c:w val="0.73167045394493468"/>
          <c:h val="0.79783929854619584"/>
        </c:manualLayout>
      </c:layout>
      <c:scatterChart>
        <c:scatterStyle val="smoothMarker"/>
        <c:varyColors val="0"/>
        <c:ser>
          <c:idx val="0"/>
          <c:order val="0"/>
          <c:tx>
            <c:v>f'(=u/U∞)</c:v>
          </c:tx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'例題2.18 層流境界層方程式'!$C$12:$C$180</c:f>
              <c:numCache>
                <c:formatCode>0.00000_ </c:formatCode>
                <c:ptCount val="169"/>
                <c:pt idx="0" formatCode="General">
                  <c:v>0</c:v>
                </c:pt>
                <c:pt idx="1">
                  <c:v>6.64083250185145E-2</c:v>
                </c:pt>
                <c:pt idx="2">
                  <c:v>0.13276522593973228</c:v>
                </c:pt>
                <c:pt idx="3">
                  <c:v>0.19893884758792674</c:v>
                </c:pt>
                <c:pt idx="4">
                  <c:v>0.26471125859682892</c:v>
                </c:pt>
                <c:pt idx="5">
                  <c:v>0.32978266618920493</c:v>
                </c:pt>
                <c:pt idx="6">
                  <c:v>0.39377923920675556</c:v>
                </c:pt>
                <c:pt idx="7">
                  <c:v>0.45626537749219032</c:v>
                </c:pt>
                <c:pt idx="8">
                  <c:v>0.51676084618140306</c:v>
                </c:pt>
                <c:pt idx="9">
                  <c:v>0.57476261821130115</c:v>
                </c:pt>
                <c:pt idx="10">
                  <c:v>0.62977058008283993</c:v>
                </c:pt>
                <c:pt idx="11">
                  <c:v>0.68131554102765746</c:v>
                </c:pt>
                <c:pt idx="12">
                  <c:v>0.72898736609641601</c:v>
                </c:pt>
                <c:pt idx="13">
                  <c:v>0.77246066490169374</c:v>
                </c:pt>
                <c:pt idx="14">
                  <c:v>0.81151542627160167</c:v>
                </c:pt>
                <c:pt idx="15">
                  <c:v>0.84605035643282911</c:v>
                </c:pt>
                <c:pt idx="16">
                  <c:v>0.87608743409775525</c:v>
                </c:pt>
                <c:pt idx="17">
                  <c:v>0.90176723061164221</c:v>
                </c:pt>
                <c:pt idx="18">
                  <c:v>0.92333567774525038</c:v>
                </c:pt>
                <c:pt idx="19">
                  <c:v>0.94112399182042006</c:v>
                </c:pt>
                <c:pt idx="20">
                  <c:v>0.95552419574158065</c:v>
                </c:pt>
                <c:pt idx="21">
                  <c:v>0.96696300367637567</c:v>
                </c:pt>
                <c:pt idx="22">
                  <c:v>0.97587672304014439</c:v>
                </c:pt>
                <c:pt idx="23">
                  <c:v>0.98268935191237794</c:v>
                </c:pt>
                <c:pt idx="24">
                  <c:v>0.98779533795141039</c:v>
                </c:pt>
                <c:pt idx="25">
                  <c:v>0.99154767321303128</c:v>
                </c:pt>
                <c:pt idx="26">
                  <c:v>0.99425127044979988</c:v>
                </c:pt>
                <c:pt idx="27">
                  <c:v>0.99616100189633427</c:v>
                </c:pt>
                <c:pt idx="28">
                  <c:v>0.99748343003666928</c:v>
                </c:pt>
                <c:pt idx="29">
                  <c:v>0.99838112086836883</c:v>
                </c:pt>
                <c:pt idx="30">
                  <c:v>0.99897846715283189</c:v>
                </c:pt>
                <c:pt idx="31">
                  <c:v>0.999368106661911</c:v>
                </c:pt>
                <c:pt idx="32">
                  <c:v>0.99961724013840914</c:v>
                </c:pt>
                <c:pt idx="33">
                  <c:v>0.99977338570031171</c:v>
                </c:pt>
                <c:pt idx="34">
                  <c:v>0.99986931530207124</c:v>
                </c:pt>
                <c:pt idx="35">
                  <c:v>0.99992708478598225</c:v>
                </c:pt>
                <c:pt idx="36">
                  <c:v>0.99996118559954883</c:v>
                </c:pt>
                <c:pt idx="37">
                  <c:v>0.99998091659072064</c:v>
                </c:pt>
                <c:pt idx="38">
                  <c:v>0.99999210705928809</c:v>
                </c:pt>
                <c:pt idx="39">
                  <c:v>0.99999832805389655</c:v>
                </c:pt>
                <c:pt idx="40">
                  <c:v>1.0000017179010674</c:v>
                </c:pt>
                <c:pt idx="41">
                  <c:v>1.0000035284288902</c:v>
                </c:pt>
                <c:pt idx="42">
                  <c:v>1.0000044762590823</c:v>
                </c:pt>
                <c:pt idx="43">
                  <c:v>1.0000049626113128</c:v>
                </c:pt>
                <c:pt idx="44">
                  <c:v>1.0000052072135086</c:v>
                </c:pt>
                <c:pt idx="45">
                  <c:v>1.0000053277870542</c:v>
                </c:pt>
                <c:pt idx="46">
                  <c:v>1.0000053860400382</c:v>
                </c:pt>
                <c:pt idx="47">
                  <c:v>1.000005413623575</c:v>
                </c:pt>
                <c:pt idx="48">
                  <c:v>1.0000054264243818</c:v>
                </c:pt>
                <c:pt idx="49">
                  <c:v>1.0000054322463396</c:v>
                </c:pt>
                <c:pt idx="50">
                  <c:v>1.0000054348413094</c:v>
                </c:pt>
                <c:pt idx="51">
                  <c:v>1.0000054348413094</c:v>
                </c:pt>
              </c:numCache>
            </c:numRef>
          </c:xVal>
          <c:yVal>
            <c:numRef>
              <c:f>'例題2.18 層流境界層方程式'!$A$12:$A$180</c:f>
              <c:numCache>
                <c:formatCode>0.0_ </c:formatCode>
                <c:ptCount val="16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7A-4293-859A-D45766162D24}"/>
            </c:ext>
          </c:extLst>
        </c:ser>
        <c:ser>
          <c:idx val="1"/>
          <c:order val="1"/>
          <c:tx>
            <c:v>θ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'例題2.18 層流境界層方程式'!$D$12:$D$180</c:f>
              <c:numCache>
                <c:formatCode>0.00000_ </c:formatCode>
                <c:ptCount val="169"/>
                <c:pt idx="0" formatCode="0.000000_ ">
                  <c:v>0.33206000000000002</c:v>
                </c:pt>
                <c:pt idx="1">
                  <c:v>0.33198649755777337</c:v>
                </c:pt>
                <c:pt idx="2">
                  <c:v>0.33147249491386488</c:v>
                </c:pt>
                <c:pt idx="3">
                  <c:v>0.3300817551998777</c:v>
                </c:pt>
                <c:pt idx="4">
                  <c:v>0.32739185467843479</c:v>
                </c:pt>
                <c:pt idx="5">
                  <c:v>0.3230096321246605</c:v>
                </c:pt>
                <c:pt idx="6">
                  <c:v>0.316591606565851</c:v>
                </c:pt>
                <c:pt idx="7">
                  <c:v>0.30786767335083193</c:v>
                </c:pt>
                <c:pt idx="8">
                  <c:v>0.29666557409583977</c:v>
                </c:pt>
                <c:pt idx="9">
                  <c:v>0.28293292765669181</c:v>
                </c:pt>
                <c:pt idx="10">
                  <c:v>0.26675322499064402</c:v>
                </c:pt>
                <c:pt idx="11">
                  <c:v>0.2483523396520752</c:v>
                </c:pt>
                <c:pt idx="12">
                  <c:v>0.22809292186650518</c:v>
                </c:pt>
                <c:pt idx="13">
                  <c:v>0.20645552077629906</c:v>
                </c:pt>
                <c:pt idx="14">
                  <c:v>0.18400722934408517</c:v>
                </c:pt>
                <c:pt idx="15">
                  <c:v>0.16136071472948318</c:v>
                </c:pt>
                <c:pt idx="16">
                  <c:v>0.13912823601712637</c:v>
                </c:pt>
                <c:pt idx="17">
                  <c:v>0.11787624186443527</c:v>
                </c:pt>
                <c:pt idx="18">
                  <c:v>9.8086121579065849E-2</c:v>
                </c:pt>
                <c:pt idx="19">
                  <c:v>8.0125638739818358E-2</c:v>
                </c:pt>
                <c:pt idx="20">
                  <c:v>6.4233747673062003E-2</c:v>
                </c:pt>
                <c:pt idx="21">
                  <c:v>5.0519304826623132E-2</c:v>
                </c:pt>
                <c:pt idx="22">
                  <c:v>3.8972120367027747E-2</c:v>
                </c:pt>
                <c:pt idx="23">
                  <c:v>2.948325230306037E-2</c:v>
                </c:pt>
                <c:pt idx="24">
                  <c:v>2.1870653914619925E-2</c:v>
                </c:pt>
                <c:pt idx="25">
                  <c:v>1.5906268457064016E-2</c:v>
                </c:pt>
                <c:pt idx="26">
                  <c:v>1.1341274497854784E-2</c:v>
                </c:pt>
                <c:pt idx="27">
                  <c:v>7.9271731074143509E-3</c:v>
                </c:pt>
                <c:pt idx="28">
                  <c:v>5.4315087798362961E-3</c:v>
                </c:pt>
                <c:pt idx="29">
                  <c:v>3.6480101735355415E-3</c:v>
                </c:pt>
                <c:pt idx="30">
                  <c:v>2.4016865517841671E-3</c:v>
                </c:pt>
                <c:pt idx="31">
                  <c:v>1.5498694732014847E-3</c:v>
                </c:pt>
                <c:pt idx="32">
                  <c:v>9.8036510234994338E-4</c:v>
                </c:pt>
                <c:pt idx="33">
                  <c:v>6.0784227259322733E-4</c:v>
                </c:pt>
                <c:pt idx="34">
                  <c:v>3.6940372260290815E-4</c:v>
                </c:pt>
                <c:pt idx="35">
                  <c:v>2.2004735488642549E-4</c:v>
                </c:pt>
                <c:pt idx="36">
                  <c:v>1.2847918000223916E-4</c:v>
                </c:pt>
                <c:pt idx="37">
                  <c:v>7.352721261834764E-5</c:v>
                </c:pt>
                <c:pt idx="38">
                  <c:v>4.1243821917746596E-5</c:v>
                </c:pt>
                <c:pt idx="39">
                  <c:v>2.2675738999022901E-5</c:v>
                </c:pt>
                <c:pt idx="40">
                  <c:v>1.2219446078712022E-5</c:v>
                </c:pt>
                <c:pt idx="41">
                  <c:v>6.4539305449342494E-6</c:v>
                </c:pt>
                <c:pt idx="42">
                  <c:v>3.3409828040697677E-6</c:v>
                </c:pt>
                <c:pt idx="43">
                  <c:v>1.6950990769012413E-6</c:v>
                </c:pt>
                <c:pt idx="44">
                  <c:v>8.4290701128450516E-7</c:v>
                </c:pt>
                <c:pt idx="45">
                  <c:v>4.1078998143795894E-7</c:v>
                </c:pt>
                <c:pt idx="46">
                  <c:v>1.9620334357922561E-7</c:v>
                </c:pt>
                <c:pt idx="47">
                  <c:v>9.1839378667887028E-8</c:v>
                </c:pt>
                <c:pt idx="48">
                  <c:v>4.2128471675463631E-8</c:v>
                </c:pt>
                <c:pt idx="49">
                  <c:v>1.893797350366768E-8</c:v>
                </c:pt>
                <c:pt idx="50">
                  <c:v>8.3423330093772699E-9</c:v>
                </c:pt>
                <c:pt idx="51">
                  <c:v>8.3423330093771459E-9</c:v>
                </c:pt>
              </c:numCache>
            </c:numRef>
          </c:xVal>
          <c:yVal>
            <c:numRef>
              <c:f>'例題2.18 層流境界層方程式'!$A$12:$A$180</c:f>
              <c:numCache>
                <c:formatCode>0.0_ </c:formatCode>
                <c:ptCount val="16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7A-4293-859A-D45766162D24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'例題2.18 層流境界層方程式'!$B$12:$B$63</c:f>
              <c:numCache>
                <c:formatCode>0.0000_ </c:formatCode>
                <c:ptCount val="52"/>
                <c:pt idx="0" formatCode="General">
                  <c:v>0</c:v>
                </c:pt>
                <c:pt idx="1">
                  <c:v>6.6410303633175401E-3</c:v>
                </c:pt>
                <c:pt idx="2">
                  <c:v>2.656005174223915E-2</c:v>
                </c:pt>
                <c:pt idx="3">
                  <c:v>5.9735048475666054E-2</c:v>
                </c:pt>
                <c:pt idx="4">
                  <c:v>0.10610898070408351</c:v>
                </c:pt>
                <c:pt idx="5">
                  <c:v>0.16557293905593387</c:v>
                </c:pt>
                <c:pt idx="6">
                  <c:v>0.2379504864951727</c:v>
                </c:pt>
                <c:pt idx="7">
                  <c:v>0.32298399841099118</c:v>
                </c:pt>
                <c:pt idx="8">
                  <c:v>0.42032394042499815</c:v>
                </c:pt>
                <c:pt idx="9">
                  <c:v>0.52952205195740387</c:v>
                </c:pt>
                <c:pt idx="10">
                  <c:v>0.65002930472976439</c:v>
                </c:pt>
                <c:pt idx="11">
                  <c:v>0.7811992644215342</c:v>
                </c:pt>
                <c:pt idx="12">
                  <c:v>0.92229710705080703</c:v>
                </c:pt>
                <c:pt idx="13">
                  <c:v>1.0725140619440283</c:v>
                </c:pt>
                <c:pt idx="14">
                  <c:v>1.2309865288325454</c:v>
                </c:pt>
                <c:pt idx="15">
                  <c:v>1.3968186244668483</c:v>
                </c:pt>
                <c:pt idx="16">
                  <c:v>1.5691065353975244</c:v>
                </c:pt>
                <c:pt idx="17">
                  <c:v>1.7469628563871598</c:v>
                </c:pt>
                <c:pt idx="18">
                  <c:v>1.9295391170400762</c:v>
                </c:pt>
                <c:pt idx="19">
                  <c:v>2.1160449418568601</c:v>
                </c:pt>
                <c:pt idx="20">
                  <c:v>2.3057627100779228</c:v>
                </c:pt>
                <c:pt idx="21">
                  <c:v>2.4980571096548703</c:v>
                </c:pt>
                <c:pt idx="22">
                  <c:v>2.6923795285651675</c:v>
                </c:pt>
                <c:pt idx="23">
                  <c:v>2.8882677151415543</c:v>
                </c:pt>
                <c:pt idx="24">
                  <c:v>3.0853415061588989</c:v>
                </c:pt>
                <c:pt idx="25">
                  <c:v>3.2832956355167462</c:v>
                </c:pt>
                <c:pt idx="26">
                  <c:v>3.481890696299804</c:v>
                </c:pt>
                <c:pt idx="27">
                  <c:v>3.6809432583343007</c:v>
                </c:pt>
                <c:pt idx="28">
                  <c:v>3.8803159807114276</c:v>
                </c:pt>
                <c:pt idx="29">
                  <c:v>4.0799083474155768</c:v>
                </c:pt>
                <c:pt idx="30">
                  <c:v>4.2796484334854927</c:v>
                </c:pt>
                <c:pt idx="31">
                  <c:v>4.479485908872733</c:v>
                </c:pt>
                <c:pt idx="32">
                  <c:v>4.6793863255538382</c:v>
                </c:pt>
                <c:pt idx="33">
                  <c:v>4.8793266177404391</c:v>
                </c:pt>
                <c:pt idx="34">
                  <c:v>5.0792916738678251</c:v>
                </c:pt>
                <c:pt idx="35">
                  <c:v>5.2792718055674168</c:v>
                </c:pt>
                <c:pt idx="36">
                  <c:v>5.4792609336127036</c:v>
                </c:pt>
                <c:pt idx="37">
                  <c:v>5.679255324188385</c:v>
                </c:pt>
                <c:pt idx="38">
                  <c:v>5.8792527323317998</c:v>
                </c:pt>
                <c:pt idx="39">
                  <c:v>6.0792518365731265</c:v>
                </c:pt>
                <c:pt idx="40">
                  <c:v>6.2792518753020046</c:v>
                </c:pt>
                <c:pt idx="41">
                  <c:v>6.4792524187173282</c:v>
                </c:pt>
                <c:pt idx="42">
                  <c:v>6.6792532293050542</c:v>
                </c:pt>
                <c:pt idx="43">
                  <c:v>6.8792541785297701</c:v>
                </c:pt>
                <c:pt idx="44">
                  <c:v>7.0792551982691272</c:v>
                </c:pt>
                <c:pt idx="45">
                  <c:v>7.2792562531634326</c:v>
                </c:pt>
                <c:pt idx="46">
                  <c:v>7.4792573252365901</c:v>
                </c:pt>
                <c:pt idx="47">
                  <c:v>7.679258405537758</c:v>
                </c:pt>
                <c:pt idx="48">
                  <c:v>7.8792594897015311</c:v>
                </c:pt>
                <c:pt idx="49">
                  <c:v>8.0792605756425218</c:v>
                </c:pt>
                <c:pt idx="50">
                  <c:v>8.2792616623849433</c:v>
                </c:pt>
                <c:pt idx="51">
                  <c:v>8.2792616623849469</c:v>
                </c:pt>
              </c:numCache>
            </c:numRef>
          </c:xVal>
          <c:yVal>
            <c:numRef>
              <c:f>'例題2.18 層流境界層方程式'!$A$12:$A$63</c:f>
              <c:numCache>
                <c:formatCode>0.0_ </c:formatCode>
                <c:ptCount val="5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7A-4293-859A-D45766162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79616"/>
        <c:axId val="1"/>
      </c:scatterChart>
      <c:valAx>
        <c:axId val="1831079616"/>
        <c:scaling>
          <c:orientation val="minMax"/>
          <c:max val="1"/>
        </c:scaling>
        <c:delete val="0"/>
        <c:axPos val="b"/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HGS創英角ﾎﾟｯﾌﾟ体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  <c:majorUnit val="0.2"/>
      </c:valAx>
      <c:valAx>
        <c:axId val="1"/>
        <c:scaling>
          <c:orientation val="minMax"/>
          <c:max val="8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Yu Gothic"/>
                    <a:ea typeface="Yu Gothic"/>
                    <a:cs typeface="Yu Gothic"/>
                  </a:defRPr>
                </a:pPr>
                <a:r>
                  <a:rPr lang="ja-JP" altLang="en-US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平板面からの無次元距離　η</a:t>
                </a:r>
              </a:p>
            </c:rich>
          </c:tx>
          <c:layout>
            <c:manualLayout>
              <c:xMode val="edge"/>
              <c:yMode val="edge"/>
              <c:x val="2.1718405206403633E-2"/>
              <c:y val="8.5714107323477839E-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83107961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6</xdr:row>
          <xdr:rowOff>133350</xdr:rowOff>
        </xdr:from>
        <xdr:to>
          <xdr:col>3</xdr:col>
          <xdr:colOff>438150</xdr:colOff>
          <xdr:row>9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Runge-Kutta-Fehlberg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421419</xdr:colOff>
      <xdr:row>1</xdr:row>
      <xdr:rowOff>111318</xdr:rowOff>
    </xdr:from>
    <xdr:to>
      <xdr:col>21</xdr:col>
      <xdr:colOff>469127</xdr:colOff>
      <xdr:row>16</xdr:row>
      <xdr:rowOff>79513</xdr:rowOff>
    </xdr:to>
    <xdr:graphicFrame macro="">
      <xdr:nvGraphicFramePr>
        <xdr:cNvPr id="12330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174929</xdr:colOff>
      <xdr:row>0</xdr:row>
      <xdr:rowOff>119270</xdr:rowOff>
    </xdr:from>
    <xdr:to>
      <xdr:col>17</xdr:col>
      <xdr:colOff>270344</xdr:colOff>
      <xdr:row>15</xdr:row>
      <xdr:rowOff>39757</xdr:rowOff>
    </xdr:to>
    <xdr:graphicFrame macro="">
      <xdr:nvGraphicFramePr>
        <xdr:cNvPr id="12331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0.65255</cdr:x>
      <cdr:y>0.42135</cdr:y>
    </cdr:from>
    <cdr:to>
      <cdr:x>0.71157</cdr:x>
      <cdr:y>0.49382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15277" y="972890"/>
          <a:ext cx="165922" cy="165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u</a:t>
          </a:r>
          <a:endParaRPr lang="ja-JP" altLang="en-US" sz="1000" b="0" i="0" u="none" strike="noStrike" baseline="-25000">
            <a:solidFill>
              <a:srgbClr val="000000"/>
            </a:solidFill>
            <a:latin typeface="Arial" panose="020B0604020202020204" pitchFamily="34" charset="0"/>
            <a:ea typeface="ＭＳ Ｐゴシック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0.68464</cdr:x>
      <cdr:y>0.49933</cdr:y>
    </cdr:from>
    <cdr:to>
      <cdr:x>0.73878</cdr:x>
      <cdr:y>0.57462</cdr:y>
    </cdr:to>
    <cdr:sp macro="" textlink="">
      <cdr:nvSpPr>
        <cdr:cNvPr id="14340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1905811" y="1152092"/>
          <a:ext cx="151588" cy="17188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0.62146</cdr:x>
      <cdr:y>0.32259</cdr:y>
    </cdr:from>
    <cdr:to>
      <cdr:x>0.81688</cdr:x>
      <cdr:y>0.40374</cdr:y>
    </cdr:to>
    <cdr:sp macro="" textlink="">
      <cdr:nvSpPr>
        <cdr:cNvPr id="14341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89961" y="736161"/>
          <a:ext cx="531428" cy="18517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速度分布</a:t>
          </a:r>
        </a:p>
      </cdr:txBody>
    </cdr:sp>
  </cdr:relSizeAnchor>
  <cdr:relSizeAnchor xmlns:cdr="http://schemas.openxmlformats.org/drawingml/2006/chartDrawing">
    <cdr:from>
      <cdr:x>0.62146</cdr:x>
      <cdr:y>0.09171</cdr:y>
    </cdr:from>
    <cdr:to>
      <cdr:x>0.8598</cdr:x>
      <cdr:y>0.16443</cdr:y>
    </cdr:to>
    <cdr:sp macro="" textlink="">
      <cdr:nvSpPr>
        <cdr:cNvPr id="14343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89961" y="209295"/>
          <a:ext cx="648130" cy="165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x = 0.02 m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0.52112</cdr:x>
      <cdr:y>0.41798</cdr:y>
    </cdr:from>
    <cdr:to>
      <cdr:x>0.72651</cdr:x>
      <cdr:y>0.49142</cdr:y>
    </cdr:to>
    <cdr:sp macro="" textlink="">
      <cdr:nvSpPr>
        <cdr:cNvPr id="266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74404" y="949172"/>
          <a:ext cx="592520" cy="165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f ' =u/U</a:t>
          </a:r>
          <a:r>
            <a:rPr lang="ja-JP" altLang="en-US" sz="1000" b="0" i="0" u="none" strike="noStrike" baseline="-2500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∞</a:t>
          </a:r>
        </a:p>
      </cdr:txBody>
    </cdr:sp>
  </cdr:relSizeAnchor>
  <cdr:relSizeAnchor xmlns:cdr="http://schemas.openxmlformats.org/drawingml/2006/chartDrawing">
    <cdr:from>
      <cdr:x>0.78672</cdr:x>
      <cdr:y>0.71436</cdr:y>
    </cdr:from>
    <cdr:to>
      <cdr:x>0.85642</cdr:x>
      <cdr:y>0.78837</cdr:y>
    </cdr:to>
    <cdr:sp macro="" textlink="">
      <cdr:nvSpPr>
        <cdr:cNvPr id="266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76889" y="1601792"/>
          <a:ext cx="192878" cy="165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f</a:t>
          </a:r>
        </a:p>
      </cdr:txBody>
    </cdr:sp>
  </cdr:relSizeAnchor>
  <cdr:relSizeAnchor xmlns:cdr="http://schemas.openxmlformats.org/drawingml/2006/chartDrawing">
    <cdr:from>
      <cdr:x>0.33961</cdr:x>
      <cdr:y>0.27504</cdr:y>
    </cdr:from>
    <cdr:to>
      <cdr:x>0.4058</cdr:x>
      <cdr:y>0.34872</cdr:y>
    </cdr:to>
    <cdr:sp macro="" textlink="">
      <cdr:nvSpPr>
        <cdr:cNvPr id="2662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3775" y="627286"/>
          <a:ext cx="189223" cy="1659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f ''</a:t>
          </a:r>
        </a:p>
      </cdr:txBody>
    </cdr:sp>
  </cdr:relSizeAnchor>
  <cdr:relSizeAnchor xmlns:cdr="http://schemas.openxmlformats.org/drawingml/2006/chartDrawing">
    <cdr:from>
      <cdr:x>0.27277</cdr:x>
      <cdr:y>0.35563</cdr:y>
    </cdr:from>
    <cdr:to>
      <cdr:x>0.33961</cdr:x>
      <cdr:y>0.4575</cdr:y>
    </cdr:to>
    <cdr:sp macro="" textlink="">
      <cdr:nvSpPr>
        <cdr:cNvPr id="26628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761998" y="810525"/>
          <a:ext cx="191777" cy="22769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0.73814</cdr:x>
      <cdr:y>0.63122</cdr:y>
    </cdr:from>
    <cdr:to>
      <cdr:x>0.78672</cdr:x>
      <cdr:y>0.6919</cdr:y>
    </cdr:to>
    <cdr:sp macro="" textlink="">
      <cdr:nvSpPr>
        <cdr:cNvPr id="26629" name="Line 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100615" y="1429856"/>
          <a:ext cx="136529" cy="138646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0.65816</cdr:x>
      <cdr:y>0.50791</cdr:y>
    </cdr:from>
    <cdr:to>
      <cdr:x>0.77325</cdr:x>
      <cdr:y>0.58427</cdr:y>
    </cdr:to>
    <cdr:sp macro="" textlink="">
      <cdr:nvSpPr>
        <cdr:cNvPr id="26630" name="Line 6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1868834" y="1151950"/>
          <a:ext cx="331439" cy="17202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238"/>
  <sheetViews>
    <sheetView tabSelected="1" workbookViewId="0">
      <selection activeCell="Q34" sqref="Q34"/>
    </sheetView>
  </sheetViews>
  <sheetFormatPr defaultColWidth="12" defaultRowHeight="12" x14ac:dyDescent="0.15"/>
  <cols>
    <col min="1" max="1" width="15.1640625" style="1" customWidth="1"/>
    <col min="2" max="2" width="10.6640625" style="1" customWidth="1"/>
    <col min="3" max="3" width="11.5" style="1" customWidth="1"/>
    <col min="4" max="4" width="11.5" style="1" bestFit="1" customWidth="1"/>
    <col min="5" max="5" width="2.33203125" style="1" customWidth="1"/>
    <col min="6" max="6" width="2" style="1" customWidth="1"/>
    <col min="7" max="7" width="1.83203125" style="1" customWidth="1"/>
    <col min="8" max="8" width="14.1640625" style="1" customWidth="1"/>
    <col min="9" max="9" width="12.1640625" style="1" customWidth="1"/>
    <col min="10" max="10" width="9.5" style="1" customWidth="1"/>
    <col min="11" max="11" width="12.33203125" style="1" customWidth="1"/>
    <col min="12" max="12" width="12" style="1" customWidth="1"/>
    <col min="13" max="13" width="12" style="20" customWidth="1"/>
    <col min="14" max="16384" width="12" style="1"/>
  </cols>
  <sheetData>
    <row r="1" spans="1:17" ht="12.75" thickBot="1" x14ac:dyDescent="0.2">
      <c r="A1" s="1" t="s">
        <v>0</v>
      </c>
      <c r="B1" s="4">
        <v>3</v>
      </c>
      <c r="H1" s="1" t="s">
        <v>3</v>
      </c>
      <c r="K1" s="13"/>
    </row>
    <row r="2" spans="1:17" x14ac:dyDescent="0.15">
      <c r="A2" s="1" t="s">
        <v>6</v>
      </c>
      <c r="B2" s="1" t="s">
        <v>7</v>
      </c>
      <c r="C2" s="1" t="s">
        <v>8</v>
      </c>
      <c r="D2" s="1" t="s">
        <v>9</v>
      </c>
      <c r="H2" s="6" t="s">
        <v>10</v>
      </c>
      <c r="I2" s="1">
        <v>0.02</v>
      </c>
      <c r="J2" s="1" t="s">
        <v>11</v>
      </c>
      <c r="K2" s="16"/>
    </row>
    <row r="3" spans="1:17" x14ac:dyDescent="0.15">
      <c r="A3" s="1">
        <v>9.9999999999999982</v>
      </c>
      <c r="B3" s="1">
        <v>8.2792616623849433</v>
      </c>
      <c r="C3" s="1">
        <v>1.0000054348413094</v>
      </c>
      <c r="D3" s="1">
        <v>8.3423330093772071E-9</v>
      </c>
      <c r="F3" s="5"/>
      <c r="H3" s="1" t="s">
        <v>12</v>
      </c>
      <c r="I3" s="1">
        <v>0.3</v>
      </c>
      <c r="J3" s="1" t="s">
        <v>13</v>
      </c>
    </row>
    <row r="4" spans="1:17" ht="12.75" thickBot="1" x14ac:dyDescent="0.2">
      <c r="B4" s="6" t="s">
        <v>27</v>
      </c>
      <c r="C4" s="6" t="s">
        <v>28</v>
      </c>
      <c r="D4" s="6" t="s">
        <v>29</v>
      </c>
      <c r="E4" s="6"/>
      <c r="F4" s="6"/>
      <c r="G4" s="6"/>
      <c r="H4" s="1" t="s">
        <v>14</v>
      </c>
      <c r="I4" s="1">
        <v>1.3</v>
      </c>
      <c r="J4" s="1" t="s">
        <v>15</v>
      </c>
      <c r="O4" s="6"/>
    </row>
    <row r="5" spans="1:17" ht="12.75" thickBot="1" x14ac:dyDescent="0.2">
      <c r="A5" s="1" t="s">
        <v>1</v>
      </c>
      <c r="B5" s="2">
        <f>C3</f>
        <v>1.0000054348413094</v>
      </c>
      <c r="C5" s="3">
        <f>D3</f>
        <v>8.3423330093772071E-9</v>
      </c>
      <c r="D5" s="3">
        <f>-(1/2)*B3*D3</f>
        <v>-3.4534178929692564E-8</v>
      </c>
      <c r="E5" s="3"/>
      <c r="F5" s="10"/>
      <c r="G5" s="6"/>
      <c r="H5" s="1" t="s">
        <v>16</v>
      </c>
      <c r="I5" s="19">
        <v>1.7E-5</v>
      </c>
      <c r="J5" s="1" t="s">
        <v>17</v>
      </c>
    </row>
    <row r="6" spans="1:17" ht="12.75" thickBot="1" x14ac:dyDescent="0.2">
      <c r="F6" s="5"/>
      <c r="H6" s="1" t="s">
        <v>18</v>
      </c>
      <c r="I6" s="19">
        <f>I5/I4</f>
        <v>1.3076923076923077E-5</v>
      </c>
      <c r="J6" s="1" t="s">
        <v>26</v>
      </c>
    </row>
    <row r="7" spans="1:17" x14ac:dyDescent="0.15">
      <c r="A7" s="1" t="s">
        <v>4</v>
      </c>
      <c r="B7" s="7">
        <v>0</v>
      </c>
      <c r="F7" s="5"/>
      <c r="H7" s="1" t="s">
        <v>20</v>
      </c>
      <c r="I7" s="1">
        <f>(I3/I6/I2)^0.5</f>
        <v>1071.0083209431248</v>
      </c>
    </row>
    <row r="8" spans="1:17" x14ac:dyDescent="0.15">
      <c r="A8" s="5" t="s">
        <v>19</v>
      </c>
      <c r="B8" s="8">
        <v>10</v>
      </c>
    </row>
    <row r="9" spans="1:17" ht="12.75" thickBot="1" x14ac:dyDescent="0.2">
      <c r="A9" s="14" t="s">
        <v>5</v>
      </c>
      <c r="B9" s="9">
        <v>50</v>
      </c>
      <c r="F9" s="5"/>
      <c r="I9" s="19"/>
    </row>
    <row r="10" spans="1:17" x14ac:dyDescent="0.15">
      <c r="A10" s="1" t="s">
        <v>2</v>
      </c>
      <c r="F10" s="5"/>
      <c r="H10" s="13" t="s">
        <v>34</v>
      </c>
      <c r="I10" s="13"/>
    </row>
    <row r="11" spans="1:17" ht="12.75" thickBot="1" x14ac:dyDescent="0.2">
      <c r="A11" s="1" t="s">
        <v>21</v>
      </c>
      <c r="B11" s="6" t="s">
        <v>22</v>
      </c>
      <c r="C11" s="6" t="s">
        <v>23</v>
      </c>
      <c r="D11" s="6" t="s">
        <v>24</v>
      </c>
      <c r="E11" s="6"/>
      <c r="F11" s="6"/>
      <c r="G11" s="6"/>
      <c r="H11" s="13" t="s">
        <v>30</v>
      </c>
      <c r="I11" s="13" t="s">
        <v>31</v>
      </c>
      <c r="J11" s="6"/>
      <c r="K11" s="6" t="s">
        <v>25</v>
      </c>
      <c r="L11" s="1" t="s">
        <v>32</v>
      </c>
      <c r="M11" s="28" t="s">
        <v>33</v>
      </c>
      <c r="O11" s="18"/>
    </row>
    <row r="12" spans="1:17" ht="12.75" thickBot="1" x14ac:dyDescent="0.2">
      <c r="A12" s="26">
        <v>0</v>
      </c>
      <c r="B12" s="2">
        <v>0</v>
      </c>
      <c r="C12" s="3">
        <v>0</v>
      </c>
      <c r="D12" s="25">
        <v>0.33206000000000002</v>
      </c>
      <c r="E12" s="22"/>
      <c r="F12" s="23"/>
      <c r="G12" s="6"/>
      <c r="H12" s="13">
        <v>0</v>
      </c>
      <c r="I12" s="13">
        <v>0.33206000000000002</v>
      </c>
      <c r="J12" s="6"/>
      <c r="K12" s="12">
        <f t="shared" ref="K12:K43" si="0">1000*A12/$I$7</f>
        <v>0</v>
      </c>
      <c r="L12" s="12">
        <f>C12*$I$3</f>
        <v>0</v>
      </c>
      <c r="M12" s="28">
        <f>(1/2)*$I$7*$I$6*(A12*C12-B12)</f>
        <v>0</v>
      </c>
    </row>
    <row r="13" spans="1:17" x14ac:dyDescent="0.15">
      <c r="A13" s="26">
        <v>0.2</v>
      </c>
      <c r="B13" s="15">
        <v>6.6410303633175401E-3</v>
      </c>
      <c r="C13" s="27">
        <v>6.64083250185145E-2</v>
      </c>
      <c r="D13" s="27">
        <v>0.33198649755777337</v>
      </c>
      <c r="E13" s="12"/>
      <c r="F13" s="24"/>
      <c r="H13" s="27">
        <v>6.6409999999999997E-2</v>
      </c>
      <c r="I13" s="27">
        <v>0.33199000000000001</v>
      </c>
      <c r="K13" s="12">
        <f t="shared" si="0"/>
        <v>0.18673991236957055</v>
      </c>
      <c r="L13" s="12">
        <f t="shared" ref="L13:L62" si="1">C13*$I$3</f>
        <v>1.9922497505554349E-2</v>
      </c>
      <c r="M13" s="28">
        <f t="shared" ref="M13:M62" si="2">(1/2)*$I$7*$I$6*(A13*C13-B13)</f>
        <v>4.6502682405896117E-5</v>
      </c>
      <c r="O13" s="19"/>
      <c r="P13" s="19"/>
      <c r="Q13" s="19"/>
    </row>
    <row r="14" spans="1:17" x14ac:dyDescent="0.15">
      <c r="A14" s="26">
        <v>0.4</v>
      </c>
      <c r="B14" s="15">
        <v>2.656005174223915E-2</v>
      </c>
      <c r="C14" s="27">
        <v>0.13276522593973228</v>
      </c>
      <c r="D14" s="27">
        <v>0.33147249491386488</v>
      </c>
      <c r="E14" s="12"/>
      <c r="F14" s="24"/>
      <c r="H14" s="27">
        <v>0.13277</v>
      </c>
      <c r="I14" s="27">
        <v>0.33146999999999999</v>
      </c>
      <c r="K14" s="12">
        <f t="shared" si="0"/>
        <v>0.3734798247391411</v>
      </c>
      <c r="L14" s="12">
        <f t="shared" si="1"/>
        <v>3.9829567781919685E-2</v>
      </c>
      <c r="M14" s="28">
        <f t="shared" si="2"/>
        <v>1.8589518480779013E-4</v>
      </c>
    </row>
    <row r="15" spans="1:17" x14ac:dyDescent="0.15">
      <c r="A15" s="26">
        <v>0.60000000000000009</v>
      </c>
      <c r="B15" s="15">
        <v>5.9735048475666054E-2</v>
      </c>
      <c r="C15" s="27">
        <v>0.19893884758792674</v>
      </c>
      <c r="D15" s="27">
        <v>0.3300817551998777</v>
      </c>
      <c r="E15" s="12"/>
      <c r="F15" s="24"/>
      <c r="H15" s="27">
        <v>0.19894000000000001</v>
      </c>
      <c r="I15" s="27">
        <v>0.33007999999999998</v>
      </c>
      <c r="K15" s="12">
        <f t="shared" si="0"/>
        <v>0.56021973710871176</v>
      </c>
      <c r="L15" s="12">
        <f t="shared" si="1"/>
        <v>5.9681654276378018E-2</v>
      </c>
      <c r="M15" s="28">
        <f t="shared" si="2"/>
        <v>4.1756160230796549E-4</v>
      </c>
      <c r="O15" s="19"/>
      <c r="P15" s="19"/>
      <c r="Q15" s="19"/>
    </row>
    <row r="16" spans="1:17" x14ac:dyDescent="0.15">
      <c r="A16" s="26">
        <v>0.8</v>
      </c>
      <c r="B16" s="15">
        <v>0.10610898070408351</v>
      </c>
      <c r="C16" s="27">
        <v>0.26471125859682892</v>
      </c>
      <c r="D16" s="27">
        <v>0.32739185467843479</v>
      </c>
      <c r="E16" s="12"/>
      <c r="F16" s="24"/>
      <c r="H16" s="27">
        <v>0.26471</v>
      </c>
      <c r="I16" s="27">
        <v>0.32739000000000001</v>
      </c>
      <c r="K16" s="12">
        <f t="shared" si="0"/>
        <v>0.74695964947828219</v>
      </c>
      <c r="L16" s="12">
        <f t="shared" si="1"/>
        <v>7.9413377579048677E-2</v>
      </c>
      <c r="M16" s="28">
        <f t="shared" si="2"/>
        <v>7.3991040107187882E-4</v>
      </c>
    </row>
    <row r="17" spans="1:15" x14ac:dyDescent="0.15">
      <c r="A17" s="26">
        <v>1</v>
      </c>
      <c r="B17" s="15">
        <v>0.16557293905593387</v>
      </c>
      <c r="C17" s="27">
        <v>0.32978266618920493</v>
      </c>
      <c r="D17" s="27">
        <v>0.3230096321246605</v>
      </c>
      <c r="E17" s="12"/>
      <c r="F17" s="24"/>
      <c r="H17" s="27">
        <v>0.32979000000000003</v>
      </c>
      <c r="I17" s="27">
        <v>0.32301000000000002</v>
      </c>
      <c r="K17" s="12">
        <f t="shared" si="0"/>
        <v>0.93369956184785274</v>
      </c>
      <c r="L17" s="12">
        <f t="shared" si="1"/>
        <v>9.8934799856761471E-2</v>
      </c>
      <c r="M17" s="28">
        <f t="shared" si="2"/>
        <v>1.1499191270661793E-3</v>
      </c>
      <c r="O17" s="18"/>
    </row>
    <row r="18" spans="1:15" x14ac:dyDescent="0.15">
      <c r="A18" s="26">
        <v>1.2</v>
      </c>
      <c r="B18" s="15">
        <v>0.2379504864951727</v>
      </c>
      <c r="C18" s="27">
        <v>0.39377923920675556</v>
      </c>
      <c r="D18" s="27">
        <v>0.316591606565851</v>
      </c>
      <c r="E18" s="12"/>
      <c r="F18" s="24"/>
      <c r="H18" s="27">
        <v>0.39378000000000002</v>
      </c>
      <c r="I18" s="27">
        <v>0.31658999999999998</v>
      </c>
      <c r="K18" s="12">
        <f t="shared" si="0"/>
        <v>1.1204394742174233</v>
      </c>
      <c r="L18" s="12">
        <f t="shared" si="1"/>
        <v>0.11813377176202666</v>
      </c>
      <c r="M18" s="28">
        <f t="shared" si="2"/>
        <v>1.6427365406439592E-3</v>
      </c>
      <c r="O18" s="18"/>
    </row>
    <row r="19" spans="1:15" x14ac:dyDescent="0.15">
      <c r="A19" s="26">
        <v>1.4</v>
      </c>
      <c r="B19" s="15">
        <v>0.32298399841099118</v>
      </c>
      <c r="C19" s="27">
        <v>0.45626537749219032</v>
      </c>
      <c r="D19" s="27">
        <v>0.30786767335083193</v>
      </c>
      <c r="E19" s="12"/>
      <c r="F19" s="12"/>
      <c r="H19" s="27">
        <v>0.45627000000000001</v>
      </c>
      <c r="I19" s="27">
        <v>0.30786999999999998</v>
      </c>
      <c r="K19" s="12">
        <f t="shared" si="0"/>
        <v>1.3071793865869938</v>
      </c>
      <c r="L19" s="12">
        <f t="shared" si="1"/>
        <v>0.1368796132476571</v>
      </c>
      <c r="M19" s="28">
        <f t="shared" si="2"/>
        <v>2.2113800885318574E-3</v>
      </c>
      <c r="O19" s="18"/>
    </row>
    <row r="20" spans="1:15" x14ac:dyDescent="0.15">
      <c r="A20" s="26">
        <v>1.5999999999999999</v>
      </c>
      <c r="B20" s="15">
        <v>0.42032394042499815</v>
      </c>
      <c r="C20" s="27">
        <v>0.51676084618140306</v>
      </c>
      <c r="D20" s="27">
        <v>0.29666557409583977</v>
      </c>
      <c r="E20" s="12"/>
      <c r="F20" s="12"/>
      <c r="H20" s="27">
        <v>0.51676</v>
      </c>
      <c r="I20" s="27">
        <v>0.29666999999999999</v>
      </c>
      <c r="K20" s="12">
        <f t="shared" si="0"/>
        <v>1.4939192989565642</v>
      </c>
      <c r="L20" s="12">
        <f t="shared" si="1"/>
        <v>0.1550282538544209</v>
      </c>
      <c r="M20" s="28">
        <f t="shared" si="2"/>
        <v>2.84657041534904E-3</v>
      </c>
      <c r="O20" s="18"/>
    </row>
    <row r="21" spans="1:15" x14ac:dyDescent="0.15">
      <c r="A21" s="26">
        <v>1.7999999999999998</v>
      </c>
      <c r="B21" s="15">
        <v>0.52952205195740387</v>
      </c>
      <c r="C21" s="27">
        <v>0.57476261821130115</v>
      </c>
      <c r="D21" s="27">
        <v>0.28293292765669181</v>
      </c>
      <c r="E21" s="12"/>
      <c r="F21" s="12"/>
      <c r="H21" s="27">
        <v>0.57477</v>
      </c>
      <c r="I21" s="27">
        <v>0.28293000000000001</v>
      </c>
      <c r="K21" s="12">
        <f t="shared" si="0"/>
        <v>1.6806592113261347</v>
      </c>
      <c r="L21" s="12">
        <f t="shared" si="1"/>
        <v>0.17242878546339033</v>
      </c>
      <c r="M21" s="28">
        <f t="shared" si="2"/>
        <v>3.5367418554100916E-3</v>
      </c>
      <c r="O21" s="18"/>
    </row>
    <row r="22" spans="1:15" x14ac:dyDescent="0.15">
      <c r="A22" s="26">
        <v>1.9999999999999998</v>
      </c>
      <c r="B22" s="15">
        <v>0.65002930472976439</v>
      </c>
      <c r="C22" s="27">
        <v>0.62977058008283993</v>
      </c>
      <c r="D22" s="27">
        <v>0.26675322499064402</v>
      </c>
      <c r="E22" s="12"/>
      <c r="F22" s="12"/>
      <c r="H22" s="27">
        <v>0.62977000000000005</v>
      </c>
      <c r="I22" s="27">
        <v>0.26674999999999999</v>
      </c>
      <c r="K22" s="12">
        <f t="shared" si="0"/>
        <v>1.8673991236957053</v>
      </c>
      <c r="L22" s="12">
        <f t="shared" si="1"/>
        <v>0.18893117402485196</v>
      </c>
      <c r="M22" s="28">
        <f t="shared" si="2"/>
        <v>4.2682571427118919E-3</v>
      </c>
      <c r="O22" s="18"/>
    </row>
    <row r="23" spans="1:15" x14ac:dyDescent="0.15">
      <c r="A23" s="26">
        <v>2.1999999999999997</v>
      </c>
      <c r="B23" s="15">
        <v>0.7811992644215342</v>
      </c>
      <c r="C23" s="27">
        <v>0.68131554102765746</v>
      </c>
      <c r="D23" s="27">
        <v>0.2483523396520752</v>
      </c>
      <c r="E23" s="12"/>
      <c r="F23" s="12"/>
      <c r="H23" s="27">
        <v>0.68132000000000004</v>
      </c>
      <c r="I23" s="27">
        <v>0.24834999999999999</v>
      </c>
      <c r="K23" s="12">
        <f t="shared" si="0"/>
        <v>2.0541390360652754</v>
      </c>
      <c r="L23" s="12">
        <f t="shared" si="1"/>
        <v>0.20439466230829723</v>
      </c>
      <c r="M23" s="28">
        <f t="shared" si="2"/>
        <v>5.0258357834744435E-3</v>
      </c>
      <c r="O23" s="18"/>
    </row>
    <row r="24" spans="1:15" x14ac:dyDescent="0.15">
      <c r="A24" s="26">
        <v>2.4</v>
      </c>
      <c r="B24" s="15">
        <v>0.92229710705080703</v>
      </c>
      <c r="C24" s="27">
        <v>0.72898736609641601</v>
      </c>
      <c r="D24" s="27">
        <v>0.22809292186650518</v>
      </c>
      <c r="E24" s="12"/>
      <c r="F24" s="12"/>
      <c r="H24" s="27">
        <v>0.72899000000000003</v>
      </c>
      <c r="I24" s="27">
        <v>0.22808999999999999</v>
      </c>
      <c r="K24" s="12">
        <f t="shared" si="0"/>
        <v>2.2408789484348466</v>
      </c>
      <c r="L24" s="12">
        <f t="shared" si="1"/>
        <v>0.21869620982892479</v>
      </c>
      <c r="M24" s="28">
        <f t="shared" si="2"/>
        <v>5.7931802821015819E-3</v>
      </c>
      <c r="O24" s="18"/>
    </row>
    <row r="25" spans="1:15" x14ac:dyDescent="0.15">
      <c r="A25" s="26">
        <v>2.6</v>
      </c>
      <c r="B25" s="15">
        <v>1.0725140619440283</v>
      </c>
      <c r="C25" s="27">
        <v>0.77246066490169374</v>
      </c>
      <c r="D25" s="27">
        <v>0.20645552077629906</v>
      </c>
      <c r="E25" s="12"/>
      <c r="F25" s="12"/>
      <c r="H25" s="27">
        <v>0.77246000000000004</v>
      </c>
      <c r="I25" s="27">
        <v>0.20646</v>
      </c>
      <c r="K25" s="12">
        <f t="shared" si="0"/>
        <v>2.4276188608044169</v>
      </c>
      <c r="L25" s="12">
        <f t="shared" si="1"/>
        <v>0.23173819947050811</v>
      </c>
      <c r="M25" s="28">
        <f t="shared" si="2"/>
        <v>6.5537562722405409E-3</v>
      </c>
      <c r="O25" s="18"/>
    </row>
    <row r="26" spans="1:15" x14ac:dyDescent="0.15">
      <c r="A26" s="26">
        <v>2.8000000000000003</v>
      </c>
      <c r="B26" s="15">
        <v>1.2309865288325454</v>
      </c>
      <c r="C26" s="27">
        <v>0.81151542627160167</v>
      </c>
      <c r="D26" s="27">
        <v>0.18400722934408517</v>
      </c>
      <c r="E26" s="12"/>
      <c r="F26" s="12"/>
      <c r="H26" s="27">
        <v>0.81152000000000002</v>
      </c>
      <c r="I26" s="27">
        <v>0.18401000000000001</v>
      </c>
      <c r="K26" s="12">
        <f t="shared" si="0"/>
        <v>2.6143587731739881</v>
      </c>
      <c r="L26" s="12">
        <f t="shared" si="1"/>
        <v>0.24345462788148048</v>
      </c>
      <c r="M26" s="28">
        <f t="shared" si="2"/>
        <v>7.2916566872072491E-3</v>
      </c>
      <c r="O26" s="18"/>
    </row>
    <row r="27" spans="1:15" x14ac:dyDescent="0.15">
      <c r="A27" s="26">
        <v>3.0000000000000004</v>
      </c>
      <c r="B27" s="15">
        <v>1.3968186244668483</v>
      </c>
      <c r="C27" s="27">
        <v>0.84605035643282911</v>
      </c>
      <c r="D27" s="27">
        <v>0.16136071472948318</v>
      </c>
      <c r="E27" s="12"/>
      <c r="F27" s="12"/>
      <c r="G27" s="11"/>
      <c r="H27" s="27">
        <v>0.84604999999999997</v>
      </c>
      <c r="I27" s="27">
        <v>0.16136</v>
      </c>
      <c r="K27" s="12">
        <f t="shared" si="0"/>
        <v>2.8010986855435585</v>
      </c>
      <c r="L27" s="12">
        <f t="shared" si="1"/>
        <v>0.25381510692984871</v>
      </c>
      <c r="M27" s="28">
        <f t="shared" si="2"/>
        <v>7.9924620274652997E-3</v>
      </c>
      <c r="O27" s="18"/>
    </row>
    <row r="28" spans="1:15" x14ac:dyDescent="0.15">
      <c r="A28" s="26">
        <v>3.2000000000000006</v>
      </c>
      <c r="B28" s="15">
        <v>1.5691065353975244</v>
      </c>
      <c r="C28" s="27">
        <v>0.87608743409775525</v>
      </c>
      <c r="D28" s="27">
        <v>0.13912823601712637</v>
      </c>
      <c r="E28" s="12"/>
      <c r="F28" s="12"/>
      <c r="H28" s="27">
        <v>0.87609000000000004</v>
      </c>
      <c r="I28" s="27">
        <v>0.13913</v>
      </c>
      <c r="K28" s="12">
        <f t="shared" si="0"/>
        <v>2.9878385979131292</v>
      </c>
      <c r="L28" s="12">
        <f t="shared" si="1"/>
        <v>0.26282623022932655</v>
      </c>
      <c r="M28" s="28">
        <f t="shared" si="2"/>
        <v>8.6440032461300755E-3</v>
      </c>
      <c r="O28" s="18"/>
    </row>
    <row r="29" spans="1:15" x14ac:dyDescent="0.15">
      <c r="A29" s="26">
        <v>3.4000000000000008</v>
      </c>
      <c r="B29" s="15">
        <v>1.7469628563871598</v>
      </c>
      <c r="C29" s="27">
        <v>0.90176723061164221</v>
      </c>
      <c r="D29" s="27">
        <v>0.11787624186443527</v>
      </c>
      <c r="E29" s="12"/>
      <c r="F29" s="12"/>
      <c r="H29" s="27">
        <v>0.90176999999999996</v>
      </c>
      <c r="I29" s="27">
        <v>0.11788</v>
      </c>
      <c r="K29" s="12">
        <f t="shared" si="0"/>
        <v>3.1745785102827</v>
      </c>
      <c r="L29" s="12">
        <f t="shared" si="1"/>
        <v>0.27053016918349265</v>
      </c>
      <c r="M29" s="28">
        <f t="shared" si="2"/>
        <v>9.2369431350277382E-3</v>
      </c>
      <c r="O29" s="18"/>
    </row>
    <row r="30" spans="1:15" x14ac:dyDescent="0.15">
      <c r="A30" s="26">
        <v>3.600000000000001</v>
      </c>
      <c r="B30" s="15">
        <v>1.9295391170400762</v>
      </c>
      <c r="C30" s="27">
        <v>0.92333567774525038</v>
      </c>
      <c r="D30" s="27">
        <v>9.8086121579065849E-2</v>
      </c>
      <c r="E30" s="12"/>
      <c r="F30" s="12"/>
      <c r="H30" s="27">
        <v>0.92332999999999998</v>
      </c>
      <c r="I30" s="27">
        <v>9.8089999999999997E-2</v>
      </c>
      <c r="K30" s="12">
        <f t="shared" si="0"/>
        <v>3.3613184226522708</v>
      </c>
      <c r="L30" s="12">
        <f t="shared" si="1"/>
        <v>0.27700070332357513</v>
      </c>
      <c r="M30" s="28">
        <f t="shared" si="2"/>
        <v>9.7651154681146352E-3</v>
      </c>
      <c r="O30" s="18"/>
    </row>
    <row r="31" spans="1:15" x14ac:dyDescent="0.15">
      <c r="A31" s="26">
        <v>3.8000000000000012</v>
      </c>
      <c r="B31" s="15">
        <v>2.1160449418568601</v>
      </c>
      <c r="C31" s="27">
        <v>0.94112399182042006</v>
      </c>
      <c r="D31" s="27">
        <v>8.0125638739818358E-2</v>
      </c>
      <c r="E31" s="12"/>
      <c r="F31" s="12"/>
      <c r="H31" s="27">
        <v>0.94111999999999996</v>
      </c>
      <c r="I31" s="27">
        <v>8.0130000000000007E-2</v>
      </c>
      <c r="K31" s="12">
        <f t="shared" si="0"/>
        <v>3.5480583350218415</v>
      </c>
      <c r="L31" s="12">
        <f t="shared" si="1"/>
        <v>0.28233719754612602</v>
      </c>
      <c r="M31" s="28">
        <f t="shared" si="2"/>
        <v>1.0225594413040148E-2</v>
      </c>
      <c r="O31" s="18"/>
    </row>
    <row r="32" spans="1:15" x14ac:dyDescent="0.15">
      <c r="A32" s="26">
        <v>4.0000000000000009</v>
      </c>
      <c r="B32" s="15">
        <v>2.3057627100779228</v>
      </c>
      <c r="C32" s="27">
        <v>0.95552419574158065</v>
      </c>
      <c r="D32" s="27">
        <v>6.4233747673062003E-2</v>
      </c>
      <c r="E32" s="12"/>
      <c r="F32" s="12"/>
      <c r="H32" s="27">
        <v>0.95552000000000004</v>
      </c>
      <c r="I32" s="27">
        <v>6.4240000000000005E-2</v>
      </c>
      <c r="K32" s="12">
        <f t="shared" si="0"/>
        <v>3.7347982473914114</v>
      </c>
      <c r="L32" s="12">
        <f t="shared" si="1"/>
        <v>0.28665725872247416</v>
      </c>
      <c r="M32" s="28">
        <f t="shared" si="2"/>
        <v>1.0618503446031519E-2</v>
      </c>
      <c r="O32" s="18"/>
    </row>
    <row r="33" spans="1:15" x14ac:dyDescent="0.15">
      <c r="A33" s="26">
        <v>4.2000000000000011</v>
      </c>
      <c r="B33" s="15">
        <v>2.4980571096548703</v>
      </c>
      <c r="C33" s="27">
        <v>0.96696300367637567</v>
      </c>
      <c r="D33" s="27">
        <v>5.0519304826623132E-2</v>
      </c>
      <c r="E33" s="12"/>
      <c r="F33" s="12"/>
      <c r="H33" s="27">
        <v>0.96696000000000004</v>
      </c>
      <c r="I33" s="27">
        <v>5.0520000000000002E-2</v>
      </c>
      <c r="K33" s="12">
        <f t="shared" si="0"/>
        <v>3.9215381597609822</v>
      </c>
      <c r="L33" s="12">
        <f t="shared" si="1"/>
        <v>0.29008890110291269</v>
      </c>
      <c r="M33" s="28">
        <f t="shared" si="2"/>
        <v>1.0946606169287549E-2</v>
      </c>
      <c r="O33" s="18"/>
    </row>
    <row r="34" spans="1:15" x14ac:dyDescent="0.15">
      <c r="A34" s="26">
        <v>4.4000000000000012</v>
      </c>
      <c r="B34" s="15">
        <v>2.6923795285651675</v>
      </c>
      <c r="C34" s="27">
        <v>0.97587672304014439</v>
      </c>
      <c r="D34" s="27">
        <v>3.8972120367027747E-2</v>
      </c>
      <c r="E34" s="12"/>
      <c r="F34" s="12"/>
      <c r="H34" s="27">
        <v>0.97587000000000002</v>
      </c>
      <c r="I34" s="27">
        <v>3.8969999999999998E-2</v>
      </c>
      <c r="K34" s="12">
        <f t="shared" si="0"/>
        <v>4.1082780721305525</v>
      </c>
      <c r="L34" s="12">
        <f t="shared" si="1"/>
        <v>0.29276301691204332</v>
      </c>
      <c r="M34" s="28">
        <f t="shared" si="2"/>
        <v>1.1214745171642653E-2</v>
      </c>
      <c r="O34" s="18"/>
    </row>
    <row r="35" spans="1:15" x14ac:dyDescent="0.15">
      <c r="A35" s="26">
        <v>4.6000000000000014</v>
      </c>
      <c r="B35" s="15">
        <v>2.8882677151415543</v>
      </c>
      <c r="C35" s="27">
        <v>0.98268935191237794</v>
      </c>
      <c r="D35" s="27">
        <v>2.948325230306037E-2</v>
      </c>
      <c r="E35" s="12"/>
      <c r="F35" s="12"/>
      <c r="H35" s="27">
        <v>0.98268999999999995</v>
      </c>
      <c r="I35" s="27">
        <v>2.9479999999999999E-2</v>
      </c>
      <c r="K35" s="12">
        <f t="shared" si="0"/>
        <v>4.2950179845001237</v>
      </c>
      <c r="L35" s="12">
        <f t="shared" si="1"/>
        <v>0.29480680557371336</v>
      </c>
      <c r="M35" s="28">
        <f t="shared" si="2"/>
        <v>1.1429206046350993E-2</v>
      </c>
      <c r="O35" s="18"/>
    </row>
    <row r="36" spans="1:15" x14ac:dyDescent="0.15">
      <c r="A36" s="26">
        <v>4.8000000000000016</v>
      </c>
      <c r="B36" s="15">
        <v>3.0853415061588989</v>
      </c>
      <c r="C36" s="27">
        <v>0.98779533795141039</v>
      </c>
      <c r="D36" s="27">
        <v>2.1870653914619925E-2</v>
      </c>
      <c r="E36" s="12"/>
      <c r="F36" s="12"/>
      <c r="H36" s="27">
        <v>0.98778999999999995</v>
      </c>
      <c r="I36" s="27">
        <v>2.1870000000000001E-2</v>
      </c>
      <c r="K36" s="12">
        <f t="shared" si="0"/>
        <v>4.4817578968696949</v>
      </c>
      <c r="L36" s="12">
        <f t="shared" si="1"/>
        <v>0.29633860138542312</v>
      </c>
      <c r="M36" s="28">
        <f t="shared" si="2"/>
        <v>1.1597081579274329E-2</v>
      </c>
      <c r="O36" s="18"/>
    </row>
    <row r="37" spans="1:15" x14ac:dyDescent="0.15">
      <c r="A37" s="26">
        <v>5.0000000000000018</v>
      </c>
      <c r="B37" s="15">
        <v>3.2832956355167462</v>
      </c>
      <c r="C37" s="27">
        <v>0.99154767321303128</v>
      </c>
      <c r="D37" s="27">
        <v>1.5906268457064016E-2</v>
      </c>
      <c r="E37" s="12"/>
      <c r="F37" s="12"/>
      <c r="H37" s="27">
        <v>0.99155000000000004</v>
      </c>
      <c r="I37" s="27">
        <v>1.5910000000000001E-2</v>
      </c>
      <c r="K37" s="12">
        <f t="shared" si="0"/>
        <v>4.6684978092392653</v>
      </c>
      <c r="L37" s="12">
        <f t="shared" si="1"/>
        <v>0.29746430196390938</v>
      </c>
      <c r="M37" s="28">
        <f t="shared" si="2"/>
        <v>1.17256983288928E-2</v>
      </c>
      <c r="O37" s="18"/>
    </row>
    <row r="38" spans="1:15" x14ac:dyDescent="0.15">
      <c r="A38" s="26">
        <v>5.200000000000002</v>
      </c>
      <c r="B38" s="15">
        <v>3.481890696299804</v>
      </c>
      <c r="C38" s="27">
        <v>0.99425127044979988</v>
      </c>
      <c r="D38" s="27">
        <v>1.1341274497854784E-2</v>
      </c>
      <c r="E38" s="12"/>
      <c r="F38" s="12"/>
      <c r="H38" s="27">
        <v>0.99424999999999997</v>
      </c>
      <c r="I38" s="27">
        <v>1.1339999999999999E-2</v>
      </c>
      <c r="K38" s="12">
        <f t="shared" si="0"/>
        <v>4.8552377216088356</v>
      </c>
      <c r="L38" s="12">
        <f t="shared" si="1"/>
        <v>0.29827538113493995</v>
      </c>
      <c r="M38" s="28">
        <f t="shared" si="2"/>
        <v>1.1822148416311006E-2</v>
      </c>
      <c r="O38" s="18"/>
    </row>
    <row r="39" spans="1:15" x14ac:dyDescent="0.15">
      <c r="A39" s="26">
        <v>5.4000000000000021</v>
      </c>
      <c r="B39" s="15">
        <v>3.6809432583343007</v>
      </c>
      <c r="C39" s="27">
        <v>0.99616100189633427</v>
      </c>
      <c r="D39" s="27">
        <v>7.9271731074143509E-3</v>
      </c>
      <c r="E39" s="12"/>
      <c r="F39" s="12"/>
      <c r="H39" s="27">
        <v>0.99616000000000005</v>
      </c>
      <c r="I39" s="27">
        <v>7.9299999999999995E-3</v>
      </c>
      <c r="K39" s="12">
        <f t="shared" si="0"/>
        <v>5.0419776339784059</v>
      </c>
      <c r="L39" s="12">
        <f t="shared" si="1"/>
        <v>0.29884830056890027</v>
      </c>
      <c r="M39" s="28">
        <f t="shared" si="2"/>
        <v>1.1892947879319705E-2</v>
      </c>
      <c r="O39" s="18"/>
    </row>
    <row r="40" spans="1:15" x14ac:dyDescent="0.15">
      <c r="A40" s="26">
        <v>5.6000000000000023</v>
      </c>
      <c r="B40" s="15">
        <v>3.8803159807114276</v>
      </c>
      <c r="C40" s="27">
        <v>0.99748343003666928</v>
      </c>
      <c r="D40" s="27">
        <v>5.4315087798362961E-3</v>
      </c>
      <c r="E40" s="12"/>
      <c r="F40" s="12"/>
      <c r="H40" s="27">
        <v>0.99748000000000003</v>
      </c>
      <c r="I40" s="27">
        <v>5.4299999999999999E-3</v>
      </c>
      <c r="K40" s="12">
        <f t="shared" si="0"/>
        <v>5.228717546347978</v>
      </c>
      <c r="L40" s="12">
        <f t="shared" si="1"/>
        <v>0.29924502901100075</v>
      </c>
      <c r="M40" s="28">
        <f t="shared" si="2"/>
        <v>1.1943823363519623E-2</v>
      </c>
      <c r="O40" s="18"/>
    </row>
    <row r="41" spans="1:15" x14ac:dyDescent="0.15">
      <c r="A41" s="26">
        <v>5.8000000000000025</v>
      </c>
      <c r="B41" s="15">
        <v>4.0799083474155768</v>
      </c>
      <c r="C41" s="27">
        <v>0.99838112086836883</v>
      </c>
      <c r="D41" s="27">
        <v>3.6480101735355415E-3</v>
      </c>
      <c r="E41" s="12"/>
      <c r="F41" s="12"/>
      <c r="H41" s="27">
        <v>0.99838000000000005</v>
      </c>
      <c r="I41" s="27">
        <v>3.65E-3</v>
      </c>
      <c r="K41" s="12">
        <f t="shared" si="0"/>
        <v>5.4154574587175484</v>
      </c>
      <c r="L41" s="12">
        <f t="shared" si="1"/>
        <v>0.29951433626051066</v>
      </c>
      <c r="M41" s="28">
        <f t="shared" si="2"/>
        <v>1.1979613884660545E-2</v>
      </c>
      <c r="O41" s="18"/>
    </row>
    <row r="42" spans="1:15" x14ac:dyDescent="0.15">
      <c r="A42" s="26">
        <v>6.0000000000000027</v>
      </c>
      <c r="B42" s="15">
        <v>4.2796484334854927</v>
      </c>
      <c r="C42" s="27">
        <v>0.99897846715283189</v>
      </c>
      <c r="D42" s="27">
        <v>2.4016865517841671E-3</v>
      </c>
      <c r="E42" s="12"/>
      <c r="F42" s="12"/>
      <c r="H42" s="27">
        <v>0.99897999999999998</v>
      </c>
      <c r="I42" s="27">
        <v>2.3999999999999998E-3</v>
      </c>
      <c r="K42" s="12">
        <f t="shared" si="0"/>
        <v>5.6021973710871187</v>
      </c>
      <c r="L42" s="12">
        <f t="shared" si="1"/>
        <v>0.29969354014584954</v>
      </c>
      <c r="M42" s="28">
        <f t="shared" si="2"/>
        <v>1.2004265064359847E-2</v>
      </c>
      <c r="O42" s="18"/>
    </row>
    <row r="43" spans="1:15" x14ac:dyDescent="0.15">
      <c r="A43" s="26">
        <v>6.2000000000000028</v>
      </c>
      <c r="B43" s="15">
        <v>4.479485908872733</v>
      </c>
      <c r="C43" s="27">
        <v>0.999368106661911</v>
      </c>
      <c r="D43" s="27">
        <v>1.5498694732014847E-3</v>
      </c>
      <c r="E43" s="12"/>
      <c r="F43" s="12"/>
      <c r="H43" s="27">
        <v>0.99936999999999998</v>
      </c>
      <c r="I43" s="27">
        <v>1.5499999999999999E-3</v>
      </c>
      <c r="K43" s="12">
        <f t="shared" si="0"/>
        <v>5.788937283456689</v>
      </c>
      <c r="L43" s="12">
        <f t="shared" si="1"/>
        <v>0.29981043199857327</v>
      </c>
      <c r="M43" s="28">
        <f t="shared" si="2"/>
        <v>1.2020889466009174E-2</v>
      </c>
      <c r="O43" s="18"/>
    </row>
    <row r="44" spans="1:15" x14ac:dyDescent="0.15">
      <c r="A44" s="26">
        <v>6.400000000000003</v>
      </c>
      <c r="B44" s="15">
        <v>4.6793863255538382</v>
      </c>
      <c r="C44" s="27">
        <v>0.99961724013840914</v>
      </c>
      <c r="D44" s="27">
        <v>9.8036510234994338E-4</v>
      </c>
      <c r="E44" s="12"/>
      <c r="F44" s="12"/>
      <c r="H44" s="27">
        <v>0.99961</v>
      </c>
      <c r="I44" s="27">
        <v>9.7999999999999997E-4</v>
      </c>
      <c r="K44" s="12">
        <f t="shared" ref="K44:K62" si="3">1000*A44/$I$7</f>
        <v>5.9756771958262602</v>
      </c>
      <c r="L44" s="12">
        <f t="shared" si="1"/>
        <v>0.29988517204152271</v>
      </c>
      <c r="M44" s="28">
        <f t="shared" si="2"/>
        <v>1.2031867384225658E-2</v>
      </c>
      <c r="O44" s="18"/>
    </row>
    <row r="45" spans="1:15" x14ac:dyDescent="0.15">
      <c r="A45" s="26">
        <v>6.6000000000000032</v>
      </c>
      <c r="B45" s="15">
        <v>4.8793266177404391</v>
      </c>
      <c r="C45" s="27">
        <v>0.99977338570031171</v>
      </c>
      <c r="D45" s="27">
        <v>6.0784227259322733E-4</v>
      </c>
      <c r="E45" s="12"/>
      <c r="F45" s="12"/>
      <c r="H45" s="27">
        <v>0.99977000000000005</v>
      </c>
      <c r="I45" s="27">
        <v>6.0999999999999997E-4</v>
      </c>
      <c r="K45" s="12">
        <f t="shared" si="3"/>
        <v>6.1624171081958314</v>
      </c>
      <c r="L45" s="12">
        <f t="shared" si="1"/>
        <v>0.29993201571009348</v>
      </c>
      <c r="M45" s="28">
        <f t="shared" si="2"/>
        <v>1.2038966184462424E-2</v>
      </c>
      <c r="O45" s="18"/>
    </row>
    <row r="46" spans="1:15" x14ac:dyDescent="0.15">
      <c r="A46" s="26">
        <v>6.8000000000000034</v>
      </c>
      <c r="B46" s="15">
        <v>5.0792916738678251</v>
      </c>
      <c r="C46" s="27">
        <v>0.99986931530207124</v>
      </c>
      <c r="D46" s="27">
        <v>3.6940372260290815E-4</v>
      </c>
      <c r="E46" s="12"/>
      <c r="F46" s="12"/>
      <c r="H46" s="27">
        <v>0.99987000000000004</v>
      </c>
      <c r="I46" s="27">
        <v>3.6999999999999999E-4</v>
      </c>
      <c r="K46" s="12">
        <f t="shared" si="3"/>
        <v>6.3491570205654018</v>
      </c>
      <c r="L46" s="12">
        <f t="shared" si="1"/>
        <v>0.29996079459062136</v>
      </c>
      <c r="M46" s="28">
        <f t="shared" si="2"/>
        <v>1.2043461543826732E-2</v>
      </c>
      <c r="O46" s="18"/>
    </row>
    <row r="47" spans="1:15" x14ac:dyDescent="0.15">
      <c r="A47" s="26">
        <v>7.0000000000000036</v>
      </c>
      <c r="B47" s="15">
        <v>5.2792718055674168</v>
      </c>
      <c r="C47" s="27">
        <v>0.99992708478598225</v>
      </c>
      <c r="D47" s="27">
        <v>2.2004735488642549E-4</v>
      </c>
      <c r="E47" s="12"/>
      <c r="F47" s="12"/>
      <c r="H47" s="27">
        <v>0.99992000000000003</v>
      </c>
      <c r="I47" s="27">
        <v>2.2000000000000001E-4</v>
      </c>
      <c r="K47" s="12">
        <f t="shared" si="3"/>
        <v>6.5358969329349721</v>
      </c>
      <c r="L47" s="12">
        <f t="shared" si="1"/>
        <v>0.29997812543579466</v>
      </c>
      <c r="M47" s="28">
        <f t="shared" si="2"/>
        <v>1.2046249461579671E-2</v>
      </c>
      <c r="O47" s="18"/>
    </row>
    <row r="48" spans="1:15" x14ac:dyDescent="0.15">
      <c r="A48" s="26">
        <v>7.2000000000000037</v>
      </c>
      <c r="B48" s="15">
        <v>5.4792609336127036</v>
      </c>
      <c r="C48" s="27">
        <v>0.99996118559954883</v>
      </c>
      <c r="D48" s="27">
        <v>1.2847918000223916E-4</v>
      </c>
      <c r="E48" s="12"/>
      <c r="F48" s="12"/>
      <c r="H48" s="27">
        <v>0.99995999999999996</v>
      </c>
      <c r="I48" s="27">
        <v>1.2999999999999999E-4</v>
      </c>
      <c r="K48" s="12">
        <f t="shared" si="3"/>
        <v>6.7226368453045424</v>
      </c>
      <c r="L48" s="12">
        <f t="shared" si="1"/>
        <v>0.29998835567986465</v>
      </c>
      <c r="M48" s="28">
        <f t="shared" si="2"/>
        <v>1.2047942829162776E-2</v>
      </c>
      <c r="O48" s="18"/>
    </row>
    <row r="49" spans="1:15" x14ac:dyDescent="0.15">
      <c r="A49" s="26">
        <v>7.4000000000000039</v>
      </c>
      <c r="B49" s="15">
        <v>5.679255324188385</v>
      </c>
      <c r="C49" s="27">
        <v>0.99998091659072064</v>
      </c>
      <c r="D49" s="27">
        <v>7.352721261834764E-5</v>
      </c>
      <c r="E49" s="12"/>
      <c r="F49" s="12"/>
      <c r="H49" s="27">
        <v>0.99997999999999998</v>
      </c>
      <c r="I49" s="27">
        <v>6.9999999999999994E-5</v>
      </c>
      <c r="K49" s="12">
        <f t="shared" si="3"/>
        <v>6.9093767576741136</v>
      </c>
      <c r="L49" s="12">
        <f t="shared" si="1"/>
        <v>0.2999942749772162</v>
      </c>
      <c r="M49" s="28">
        <f t="shared" si="2"/>
        <v>1.2048950215446011E-2</v>
      </c>
      <c r="O49" s="18"/>
    </row>
    <row r="50" spans="1:15" x14ac:dyDescent="0.15">
      <c r="A50" s="26">
        <v>7.6000000000000041</v>
      </c>
      <c r="B50" s="15">
        <v>5.8792527323317998</v>
      </c>
      <c r="C50" s="27">
        <v>0.99999210705928809</v>
      </c>
      <c r="D50" s="27">
        <v>4.1243821917746596E-5</v>
      </c>
      <c r="E50" s="12"/>
      <c r="F50" s="12"/>
      <c r="H50" s="27">
        <v>0.99999000000000005</v>
      </c>
      <c r="I50" s="27">
        <v>4.0000000000000003E-5</v>
      </c>
      <c r="K50" s="12">
        <f t="shared" si="3"/>
        <v>7.096116670043684</v>
      </c>
      <c r="L50" s="12">
        <f t="shared" si="1"/>
        <v>0.29999763211778641</v>
      </c>
      <c r="M50" s="28">
        <f t="shared" si="2"/>
        <v>1.2049537204833977E-2</v>
      </c>
      <c r="O50" s="18"/>
    </row>
    <row r="51" spans="1:15" x14ac:dyDescent="0.15">
      <c r="A51" s="26">
        <v>7.8000000000000043</v>
      </c>
      <c r="B51" s="15">
        <v>6.0792518365731265</v>
      </c>
      <c r="C51" s="27">
        <v>0.99999832805389655</v>
      </c>
      <c r="D51" s="27">
        <v>2.2675738999022901E-5</v>
      </c>
      <c r="E51" s="12"/>
      <c r="F51" s="12"/>
      <c r="H51" s="27">
        <v>1</v>
      </c>
      <c r="I51" s="27">
        <v>2.0000000000000002E-5</v>
      </c>
      <c r="K51" s="12">
        <f t="shared" si="3"/>
        <v>7.2828565824132552</v>
      </c>
      <c r="L51" s="12">
        <f t="shared" si="1"/>
        <v>0.29999949841616896</v>
      </c>
      <c r="M51" s="28">
        <f t="shared" si="2"/>
        <v>1.2049872222738654E-2</v>
      </c>
      <c r="O51" s="18"/>
    </row>
    <row r="52" spans="1:15" x14ac:dyDescent="0.15">
      <c r="A52" s="26">
        <v>8.0000000000000036</v>
      </c>
      <c r="B52" s="15">
        <v>6.2792518753020046</v>
      </c>
      <c r="C52" s="27">
        <v>1.0000017179010674</v>
      </c>
      <c r="D52" s="27">
        <v>1.2219446078712022E-5</v>
      </c>
      <c r="E52" s="12"/>
      <c r="F52" s="12"/>
      <c r="H52" s="27">
        <v>1</v>
      </c>
      <c r="I52" s="27">
        <v>1.0000000000000001E-5</v>
      </c>
      <c r="K52" s="12">
        <f t="shared" si="3"/>
        <v>7.4695964947828246</v>
      </c>
      <c r="L52" s="12">
        <f t="shared" si="1"/>
        <v>0.30000051537032019</v>
      </c>
      <c r="M52" s="28">
        <f t="shared" si="2"/>
        <v>1.2050059515816201E-2</v>
      </c>
      <c r="O52" s="18"/>
    </row>
    <row r="53" spans="1:15" x14ac:dyDescent="0.15">
      <c r="A53" s="26">
        <v>8.2000000000000028</v>
      </c>
      <c r="B53" s="15">
        <v>6.4792524187173282</v>
      </c>
      <c r="C53" s="27">
        <v>1.0000035284288902</v>
      </c>
      <c r="D53" s="27">
        <v>6.4539305449342494E-6</v>
      </c>
      <c r="E53" s="12"/>
      <c r="F53" s="12"/>
      <c r="H53" s="27">
        <v>1</v>
      </c>
      <c r="I53" s="27">
        <v>1.0000000000000001E-5</v>
      </c>
      <c r="K53" s="12">
        <f t="shared" si="3"/>
        <v>7.6563364071523958</v>
      </c>
      <c r="L53" s="12">
        <f t="shared" si="1"/>
        <v>0.30000105852866704</v>
      </c>
      <c r="M53" s="28">
        <f t="shared" si="2"/>
        <v>1.2050162081497178E-2</v>
      </c>
      <c r="O53" s="18"/>
    </row>
    <row r="54" spans="1:15" x14ac:dyDescent="0.15">
      <c r="A54" s="26">
        <v>8.4000000000000021</v>
      </c>
      <c r="B54" s="15">
        <v>6.6792532293050542</v>
      </c>
      <c r="C54" s="27">
        <v>1.0000044762590823</v>
      </c>
      <c r="D54" s="27">
        <v>3.3409828040697677E-6</v>
      </c>
      <c r="E54" s="12"/>
      <c r="F54" s="12"/>
      <c r="H54" s="27">
        <v>1</v>
      </c>
      <c r="I54" s="27">
        <v>0</v>
      </c>
      <c r="K54" s="12">
        <f t="shared" si="3"/>
        <v>7.8430763195219644</v>
      </c>
      <c r="L54" s="12">
        <f t="shared" si="1"/>
        <v>0.30000134287772467</v>
      </c>
      <c r="M54" s="28">
        <f t="shared" si="2"/>
        <v>1.2050217101179414E-2</v>
      </c>
      <c r="O54" s="18"/>
    </row>
    <row r="55" spans="1:15" x14ac:dyDescent="0.15">
      <c r="A55" s="26">
        <v>8.6000000000000014</v>
      </c>
      <c r="B55" s="15">
        <v>6.8792541785297701</v>
      </c>
      <c r="C55" s="27">
        <v>1.0000049626113128</v>
      </c>
      <c r="D55" s="27">
        <v>1.6950990769012413E-6</v>
      </c>
      <c r="E55" s="12"/>
      <c r="F55" s="12"/>
      <c r="H55" s="27">
        <v>1</v>
      </c>
      <c r="I55" s="27">
        <v>0</v>
      </c>
      <c r="K55" s="12">
        <f t="shared" si="3"/>
        <v>8.0298162318915356</v>
      </c>
      <c r="L55" s="12">
        <f t="shared" si="1"/>
        <v>0.30000148878339383</v>
      </c>
      <c r="M55" s="28">
        <f t="shared" si="2"/>
        <v>1.2050246013113618E-2</v>
      </c>
      <c r="O55" s="18"/>
    </row>
    <row r="56" spans="1:15" x14ac:dyDescent="0.15">
      <c r="A56" s="26">
        <v>8.8000000000000007</v>
      </c>
      <c r="B56" s="15">
        <v>7.0792551982691272</v>
      </c>
      <c r="C56" s="27">
        <v>1.0000052072135086</v>
      </c>
      <c r="D56" s="27">
        <v>8.4290701128450516E-7</v>
      </c>
      <c r="E56" s="12"/>
      <c r="F56" s="12"/>
      <c r="H56" s="27">
        <v>1</v>
      </c>
      <c r="I56" s="27">
        <v>0</v>
      </c>
      <c r="K56" s="12">
        <f t="shared" si="3"/>
        <v>8.2165561442611033</v>
      </c>
      <c r="L56" s="12">
        <f t="shared" si="1"/>
        <v>0.30000156216405255</v>
      </c>
      <c r="M56" s="28">
        <f t="shared" si="2"/>
        <v>1.2050260895926765E-2</v>
      </c>
      <c r="O56" s="18"/>
    </row>
    <row r="57" spans="1:15" x14ac:dyDescent="0.15">
      <c r="A57" s="26">
        <v>9</v>
      </c>
      <c r="B57" s="15">
        <v>7.2792562531634326</v>
      </c>
      <c r="C57" s="27">
        <v>1.0000053277870542</v>
      </c>
      <c r="D57" s="27">
        <v>4.1078998143795894E-7</v>
      </c>
      <c r="E57" s="12"/>
      <c r="F57" s="12"/>
      <c r="K57" s="12">
        <f t="shared" si="3"/>
        <v>8.4032960566306745</v>
      </c>
      <c r="L57" s="12">
        <f t="shared" si="1"/>
        <v>0.30000159833611623</v>
      </c>
      <c r="M57" s="28">
        <f t="shared" si="2"/>
        <v>1.2050268400842584E-2</v>
      </c>
      <c r="O57" s="18"/>
    </row>
    <row r="58" spans="1:15" x14ac:dyDescent="0.15">
      <c r="A58" s="26">
        <v>9.1999999999999993</v>
      </c>
      <c r="B58" s="15">
        <v>7.4792573252365901</v>
      </c>
      <c r="C58" s="27">
        <v>1.0000053860400382</v>
      </c>
      <c r="D58" s="27">
        <v>1.9620334357922561E-7</v>
      </c>
      <c r="E58" s="12"/>
      <c r="F58" s="12"/>
      <c r="K58" s="12">
        <f t="shared" si="3"/>
        <v>8.5900359690002457</v>
      </c>
      <c r="L58" s="12">
        <f t="shared" si="1"/>
        <v>0.30000161581201146</v>
      </c>
      <c r="M58" s="28">
        <f t="shared" si="2"/>
        <v>1.2050272108178659E-2</v>
      </c>
      <c r="O58" s="18"/>
    </row>
    <row r="59" spans="1:15" x14ac:dyDescent="0.15">
      <c r="A59" s="26">
        <v>9.3999999999999986</v>
      </c>
      <c r="B59" s="15">
        <v>7.679258405537758</v>
      </c>
      <c r="C59" s="27">
        <v>1.000005413623575</v>
      </c>
      <c r="D59" s="27">
        <v>9.1839378667887028E-8</v>
      </c>
      <c r="E59" s="12"/>
      <c r="F59" s="12"/>
      <c r="K59" s="12">
        <f t="shared" si="3"/>
        <v>8.7767758813698133</v>
      </c>
      <c r="L59" s="12">
        <f t="shared" si="1"/>
        <v>0.30000162408707248</v>
      </c>
      <c r="M59" s="28">
        <f t="shared" si="2"/>
        <v>1.2050273902226943E-2</v>
      </c>
      <c r="O59" s="18"/>
    </row>
    <row r="60" spans="1:15" x14ac:dyDescent="0.15">
      <c r="A60" s="26">
        <v>9.5999999999999979</v>
      </c>
      <c r="B60" s="15">
        <v>7.8792594897015311</v>
      </c>
      <c r="C60" s="27">
        <v>1.0000054264243818</v>
      </c>
      <c r="D60" s="27">
        <v>4.2128471675463631E-8</v>
      </c>
      <c r="E60" s="12"/>
      <c r="F60" s="12"/>
      <c r="K60" s="12">
        <f t="shared" si="3"/>
        <v>8.9635157937393846</v>
      </c>
      <c r="L60" s="12">
        <f t="shared" si="1"/>
        <v>0.30000162792731455</v>
      </c>
      <c r="M60" s="28">
        <f t="shared" si="2"/>
        <v>1.205027475270134E-2</v>
      </c>
      <c r="O60" s="18"/>
    </row>
    <row r="61" spans="1:15" x14ac:dyDescent="0.15">
      <c r="A61" s="26">
        <v>9.7999999999999972</v>
      </c>
      <c r="B61" s="15">
        <v>8.0792605756425218</v>
      </c>
      <c r="C61" s="27">
        <v>1.0000054322463396</v>
      </c>
      <c r="D61" s="27">
        <v>1.893797350366768E-8</v>
      </c>
      <c r="E61" s="12"/>
      <c r="F61" s="12"/>
      <c r="K61" s="12">
        <f t="shared" si="3"/>
        <v>9.1502557061089522</v>
      </c>
      <c r="L61" s="12">
        <f t="shared" si="1"/>
        <v>0.30000162967390187</v>
      </c>
      <c r="M61" s="28">
        <f t="shared" si="2"/>
        <v>1.2050275147649751E-2</v>
      </c>
      <c r="O61" s="18"/>
    </row>
    <row r="62" spans="1:15" x14ac:dyDescent="0.15">
      <c r="A62" s="26">
        <v>9.9999999999999964</v>
      </c>
      <c r="B62" s="15">
        <v>8.2792616623849433</v>
      </c>
      <c r="C62" s="27">
        <v>1.0000054348413094</v>
      </c>
      <c r="D62" s="27">
        <v>8.3423330093772699E-9</v>
      </c>
      <c r="E62" s="12"/>
      <c r="F62" s="12"/>
      <c r="K62" s="12">
        <f t="shared" si="3"/>
        <v>9.3369956184785234</v>
      </c>
      <c r="L62" s="12">
        <f t="shared" si="1"/>
        <v>0.30000163045239281</v>
      </c>
      <c r="M62" s="28">
        <f t="shared" si="2"/>
        <v>1.2050275327316028E-2</v>
      </c>
      <c r="O62" s="18"/>
    </row>
    <row r="63" spans="1:15" x14ac:dyDescent="0.15">
      <c r="A63" s="26">
        <v>10</v>
      </c>
      <c r="B63" s="15">
        <v>8.2792616623849469</v>
      </c>
      <c r="C63" s="27">
        <v>1.0000054348413094</v>
      </c>
      <c r="D63" s="27">
        <v>8.3423330093771459E-9</v>
      </c>
      <c r="E63" s="12"/>
      <c r="F63" s="12"/>
      <c r="L63" s="18"/>
      <c r="M63" s="21"/>
    </row>
    <row r="64" spans="1:15" x14ac:dyDescent="0.15">
      <c r="A64" s="12"/>
      <c r="C64" s="15"/>
      <c r="E64" s="17"/>
      <c r="L64" s="18"/>
      <c r="M64" s="21"/>
    </row>
    <row r="65" spans="1:12" x14ac:dyDescent="0.15">
      <c r="A65" s="12"/>
      <c r="C65" s="15"/>
      <c r="E65" s="17"/>
      <c r="L65" s="18"/>
    </row>
    <row r="66" spans="1:12" x14ac:dyDescent="0.15">
      <c r="A66" s="12"/>
      <c r="C66" s="15"/>
      <c r="E66" s="17"/>
      <c r="L66" s="18"/>
    </row>
    <row r="67" spans="1:12" x14ac:dyDescent="0.15">
      <c r="A67" s="12"/>
      <c r="C67" s="15"/>
      <c r="E67" s="17"/>
      <c r="L67" s="18"/>
    </row>
    <row r="68" spans="1:12" x14ac:dyDescent="0.15">
      <c r="A68" s="12"/>
      <c r="C68" s="15"/>
      <c r="E68" s="17"/>
      <c r="L68" s="18"/>
    </row>
    <row r="69" spans="1:12" x14ac:dyDescent="0.15">
      <c r="A69" s="12"/>
      <c r="C69" s="15"/>
      <c r="E69" s="17"/>
      <c r="L69" s="18"/>
    </row>
    <row r="70" spans="1:12" x14ac:dyDescent="0.15">
      <c r="A70" s="12"/>
      <c r="C70" s="15"/>
      <c r="E70" s="17"/>
      <c r="L70" s="18"/>
    </row>
    <row r="71" spans="1:12" x14ac:dyDescent="0.15">
      <c r="A71" s="12"/>
      <c r="C71" s="15"/>
      <c r="E71" s="17"/>
      <c r="L71" s="18"/>
    </row>
    <row r="72" spans="1:12" x14ac:dyDescent="0.15">
      <c r="A72" s="12"/>
      <c r="C72" s="15"/>
      <c r="E72" s="17"/>
      <c r="L72" s="18"/>
    </row>
    <row r="73" spans="1:12" x14ac:dyDescent="0.15">
      <c r="A73" s="12"/>
      <c r="C73" s="15"/>
      <c r="E73" s="17"/>
      <c r="L73" s="18"/>
    </row>
    <row r="74" spans="1:12" x14ac:dyDescent="0.15">
      <c r="A74" s="12"/>
      <c r="C74" s="15"/>
      <c r="E74" s="17"/>
      <c r="L74" s="18"/>
    </row>
    <row r="75" spans="1:12" x14ac:dyDescent="0.15">
      <c r="A75" s="12"/>
      <c r="C75" s="15"/>
      <c r="E75" s="17"/>
      <c r="L75" s="18"/>
    </row>
    <row r="76" spans="1:12" x14ac:dyDescent="0.15">
      <c r="A76" s="12"/>
      <c r="C76" s="15"/>
      <c r="E76" s="17"/>
      <c r="L76" s="18"/>
    </row>
    <row r="77" spans="1:12" x14ac:dyDescent="0.15">
      <c r="A77" s="12"/>
      <c r="C77" s="15"/>
      <c r="E77" s="17"/>
      <c r="L77" s="18"/>
    </row>
    <row r="78" spans="1:12" x14ac:dyDescent="0.15">
      <c r="A78" s="12"/>
      <c r="C78" s="15"/>
      <c r="E78" s="17"/>
      <c r="L78" s="18"/>
    </row>
    <row r="79" spans="1:12" x14ac:dyDescent="0.15">
      <c r="A79" s="12"/>
      <c r="C79" s="15"/>
      <c r="E79" s="17"/>
      <c r="L79" s="18"/>
    </row>
    <row r="80" spans="1:12" x14ac:dyDescent="0.15">
      <c r="A80" s="12"/>
      <c r="C80" s="15"/>
      <c r="E80" s="17"/>
      <c r="L80" s="18"/>
    </row>
    <row r="81" spans="1:12" x14ac:dyDescent="0.15">
      <c r="A81" s="12"/>
      <c r="C81" s="15"/>
      <c r="E81" s="17"/>
      <c r="L81" s="18"/>
    </row>
    <row r="82" spans="1:12" x14ac:dyDescent="0.15">
      <c r="A82" s="12"/>
      <c r="C82" s="15"/>
      <c r="E82" s="17"/>
      <c r="L82" s="18"/>
    </row>
    <row r="83" spans="1:12" x14ac:dyDescent="0.15">
      <c r="A83" s="12"/>
      <c r="C83" s="15"/>
      <c r="E83" s="17"/>
      <c r="L83" s="18"/>
    </row>
    <row r="84" spans="1:12" x14ac:dyDescent="0.15">
      <c r="A84" s="12"/>
      <c r="C84" s="15"/>
      <c r="E84" s="17"/>
      <c r="L84" s="18"/>
    </row>
    <row r="85" spans="1:12" x14ac:dyDescent="0.15">
      <c r="A85" s="12"/>
      <c r="C85" s="15"/>
      <c r="E85" s="17"/>
      <c r="L85" s="18"/>
    </row>
    <row r="86" spans="1:12" x14ac:dyDescent="0.15">
      <c r="A86" s="12"/>
      <c r="C86" s="15"/>
      <c r="E86" s="17"/>
      <c r="L86" s="18"/>
    </row>
    <row r="87" spans="1:12" x14ac:dyDescent="0.15">
      <c r="A87" s="12"/>
      <c r="C87" s="15"/>
      <c r="E87" s="17"/>
      <c r="L87" s="18"/>
    </row>
    <row r="88" spans="1:12" x14ac:dyDescent="0.15">
      <c r="A88" s="12"/>
      <c r="C88" s="15"/>
      <c r="E88" s="17"/>
      <c r="L88" s="18"/>
    </row>
    <row r="89" spans="1:12" x14ac:dyDescent="0.15">
      <c r="A89" s="12"/>
      <c r="C89" s="15"/>
      <c r="E89" s="17"/>
      <c r="L89" s="18"/>
    </row>
    <row r="90" spans="1:12" x14ac:dyDescent="0.15">
      <c r="A90" s="12"/>
      <c r="C90" s="15"/>
      <c r="E90" s="17"/>
      <c r="L90" s="18"/>
    </row>
    <row r="91" spans="1:12" x14ac:dyDescent="0.15">
      <c r="A91" s="12"/>
      <c r="C91" s="15"/>
      <c r="E91" s="17"/>
      <c r="L91" s="18"/>
    </row>
    <row r="92" spans="1:12" x14ac:dyDescent="0.15">
      <c r="A92" s="12"/>
      <c r="C92" s="15"/>
      <c r="E92" s="17"/>
      <c r="L92" s="18"/>
    </row>
    <row r="93" spans="1:12" x14ac:dyDescent="0.15">
      <c r="A93" s="12"/>
      <c r="C93" s="15"/>
      <c r="E93" s="17"/>
      <c r="L93" s="18"/>
    </row>
    <row r="94" spans="1:12" x14ac:dyDescent="0.15">
      <c r="A94" s="12"/>
      <c r="E94" s="17"/>
      <c r="L94" s="18"/>
    </row>
    <row r="95" spans="1:12" x14ac:dyDescent="0.15">
      <c r="A95" s="12"/>
      <c r="E95" s="17"/>
      <c r="L95" s="18"/>
    </row>
    <row r="96" spans="1:12" x14ac:dyDescent="0.15">
      <c r="A96" s="12"/>
      <c r="E96" s="17"/>
      <c r="L96" s="18"/>
    </row>
    <row r="97" spans="1:12" x14ac:dyDescent="0.15">
      <c r="A97" s="12"/>
      <c r="E97" s="17"/>
      <c r="L97" s="18"/>
    </row>
    <row r="98" spans="1:12" x14ac:dyDescent="0.15">
      <c r="A98" s="12"/>
      <c r="E98" s="17"/>
      <c r="L98" s="18"/>
    </row>
    <row r="99" spans="1:12" x14ac:dyDescent="0.15">
      <c r="A99" s="12"/>
      <c r="E99" s="17"/>
      <c r="L99" s="18"/>
    </row>
    <row r="100" spans="1:12" x14ac:dyDescent="0.15">
      <c r="A100" s="12"/>
      <c r="E100" s="17"/>
      <c r="L100" s="18"/>
    </row>
    <row r="101" spans="1:12" x14ac:dyDescent="0.15">
      <c r="A101" s="12"/>
      <c r="E101" s="17"/>
      <c r="L101" s="18"/>
    </row>
    <row r="102" spans="1:12" x14ac:dyDescent="0.15">
      <c r="A102" s="12"/>
      <c r="E102" s="17"/>
      <c r="L102" s="18"/>
    </row>
    <row r="103" spans="1:12" x14ac:dyDescent="0.15">
      <c r="A103" s="12"/>
      <c r="E103" s="17"/>
      <c r="L103" s="18"/>
    </row>
    <row r="104" spans="1:12" x14ac:dyDescent="0.15">
      <c r="A104" s="12"/>
      <c r="E104" s="17"/>
      <c r="L104" s="18"/>
    </row>
    <row r="105" spans="1:12" x14ac:dyDescent="0.15">
      <c r="A105" s="12"/>
      <c r="E105" s="17"/>
      <c r="L105" s="18"/>
    </row>
    <row r="106" spans="1:12" x14ac:dyDescent="0.15">
      <c r="A106" s="12"/>
      <c r="E106" s="17"/>
      <c r="L106" s="18"/>
    </row>
    <row r="107" spans="1:12" x14ac:dyDescent="0.15">
      <c r="A107" s="12"/>
      <c r="E107" s="17"/>
      <c r="L107" s="18"/>
    </row>
    <row r="108" spans="1:12" x14ac:dyDescent="0.15">
      <c r="A108" s="12"/>
      <c r="E108" s="17"/>
      <c r="L108" s="18"/>
    </row>
    <row r="109" spans="1:12" x14ac:dyDescent="0.15">
      <c r="A109" s="12"/>
      <c r="E109" s="17"/>
      <c r="L109" s="18"/>
    </row>
    <row r="110" spans="1:12" x14ac:dyDescent="0.15">
      <c r="A110" s="12"/>
      <c r="E110" s="17"/>
      <c r="L110" s="18"/>
    </row>
    <row r="111" spans="1:12" x14ac:dyDescent="0.15">
      <c r="A111" s="12"/>
      <c r="E111" s="17"/>
      <c r="L111" s="18"/>
    </row>
    <row r="112" spans="1:12" x14ac:dyDescent="0.15">
      <c r="A112" s="12"/>
      <c r="E112" s="17"/>
    </row>
    <row r="113" spans="1:5" x14ac:dyDescent="0.15">
      <c r="A113" s="12"/>
      <c r="E113" s="17"/>
    </row>
    <row r="114" spans="1:5" x14ac:dyDescent="0.15">
      <c r="E114" s="17"/>
    </row>
    <row r="115" spans="1:5" x14ac:dyDescent="0.15">
      <c r="E115" s="17"/>
    </row>
    <row r="116" spans="1:5" x14ac:dyDescent="0.15">
      <c r="E116" s="17"/>
    </row>
    <row r="117" spans="1:5" x14ac:dyDescent="0.15">
      <c r="E117" s="17"/>
    </row>
    <row r="118" spans="1:5" x14ac:dyDescent="0.15">
      <c r="E118" s="17"/>
    </row>
    <row r="119" spans="1:5" x14ac:dyDescent="0.15">
      <c r="E119" s="17"/>
    </row>
    <row r="120" spans="1:5" x14ac:dyDescent="0.15">
      <c r="E120" s="17"/>
    </row>
    <row r="121" spans="1:5" x14ac:dyDescent="0.15">
      <c r="E121" s="17"/>
    </row>
    <row r="122" spans="1:5" x14ac:dyDescent="0.15">
      <c r="E122" s="17"/>
    </row>
    <row r="123" spans="1:5" x14ac:dyDescent="0.15">
      <c r="E123" s="17"/>
    </row>
    <row r="124" spans="1:5" x14ac:dyDescent="0.15">
      <c r="E124" s="17"/>
    </row>
    <row r="125" spans="1:5" x14ac:dyDescent="0.15">
      <c r="E125" s="17"/>
    </row>
    <row r="126" spans="1:5" x14ac:dyDescent="0.15">
      <c r="E126" s="17"/>
    </row>
    <row r="127" spans="1:5" x14ac:dyDescent="0.15">
      <c r="E127" s="17"/>
    </row>
    <row r="128" spans="1:5" x14ac:dyDescent="0.15">
      <c r="E128" s="17"/>
    </row>
    <row r="129" spans="5:5" x14ac:dyDescent="0.15">
      <c r="E129" s="17"/>
    </row>
    <row r="130" spans="5:5" x14ac:dyDescent="0.15">
      <c r="E130" s="17"/>
    </row>
    <row r="131" spans="5:5" x14ac:dyDescent="0.15">
      <c r="E131" s="17"/>
    </row>
    <row r="132" spans="5:5" x14ac:dyDescent="0.15">
      <c r="E132" s="17"/>
    </row>
    <row r="133" spans="5:5" x14ac:dyDescent="0.15">
      <c r="E133" s="17"/>
    </row>
    <row r="134" spans="5:5" x14ac:dyDescent="0.15">
      <c r="E134" s="17"/>
    </row>
    <row r="135" spans="5:5" x14ac:dyDescent="0.15">
      <c r="E135" s="17"/>
    </row>
    <row r="136" spans="5:5" x14ac:dyDescent="0.15">
      <c r="E136" s="17"/>
    </row>
    <row r="137" spans="5:5" x14ac:dyDescent="0.15">
      <c r="E137" s="17"/>
    </row>
    <row r="138" spans="5:5" x14ac:dyDescent="0.15">
      <c r="E138" s="17"/>
    </row>
    <row r="139" spans="5:5" x14ac:dyDescent="0.15">
      <c r="E139" s="17"/>
    </row>
    <row r="140" spans="5:5" x14ac:dyDescent="0.15">
      <c r="E140" s="17"/>
    </row>
    <row r="141" spans="5:5" x14ac:dyDescent="0.15">
      <c r="E141" s="17"/>
    </row>
    <row r="142" spans="5:5" x14ac:dyDescent="0.15">
      <c r="E142" s="17"/>
    </row>
    <row r="143" spans="5:5" x14ac:dyDescent="0.15">
      <c r="E143" s="17"/>
    </row>
    <row r="144" spans="5:5" x14ac:dyDescent="0.15">
      <c r="E144" s="17"/>
    </row>
    <row r="145" spans="5:5" x14ac:dyDescent="0.15">
      <c r="E145" s="17"/>
    </row>
    <row r="146" spans="5:5" x14ac:dyDescent="0.15">
      <c r="E146" s="17"/>
    </row>
    <row r="147" spans="5:5" x14ac:dyDescent="0.15">
      <c r="E147" s="17"/>
    </row>
    <row r="148" spans="5:5" x14ac:dyDescent="0.15">
      <c r="E148" s="17"/>
    </row>
    <row r="149" spans="5:5" x14ac:dyDescent="0.15">
      <c r="E149" s="17"/>
    </row>
    <row r="150" spans="5:5" x14ac:dyDescent="0.15">
      <c r="E150" s="17"/>
    </row>
    <row r="151" spans="5:5" x14ac:dyDescent="0.15">
      <c r="E151" s="17"/>
    </row>
    <row r="152" spans="5:5" x14ac:dyDescent="0.15">
      <c r="E152" s="17"/>
    </row>
    <row r="153" spans="5:5" x14ac:dyDescent="0.15">
      <c r="E153" s="17"/>
    </row>
    <row r="154" spans="5:5" x14ac:dyDescent="0.15">
      <c r="E154" s="17"/>
    </row>
    <row r="155" spans="5:5" x14ac:dyDescent="0.15">
      <c r="E155" s="17"/>
    </row>
    <row r="156" spans="5:5" x14ac:dyDescent="0.15">
      <c r="E156" s="17"/>
    </row>
    <row r="157" spans="5:5" x14ac:dyDescent="0.15">
      <c r="E157" s="17"/>
    </row>
    <row r="158" spans="5:5" x14ac:dyDescent="0.15">
      <c r="E158" s="17"/>
    </row>
    <row r="159" spans="5:5" x14ac:dyDescent="0.15">
      <c r="E159" s="17"/>
    </row>
    <row r="160" spans="5:5" x14ac:dyDescent="0.15">
      <c r="E160" s="17"/>
    </row>
    <row r="161" spans="5:5" x14ac:dyDescent="0.15">
      <c r="E161" s="17"/>
    </row>
    <row r="162" spans="5:5" x14ac:dyDescent="0.15">
      <c r="E162" s="17"/>
    </row>
    <row r="163" spans="5:5" x14ac:dyDescent="0.15">
      <c r="E163" s="17"/>
    </row>
    <row r="164" spans="5:5" x14ac:dyDescent="0.15">
      <c r="E164" s="17"/>
    </row>
    <row r="165" spans="5:5" x14ac:dyDescent="0.15">
      <c r="E165" s="17"/>
    </row>
    <row r="166" spans="5:5" x14ac:dyDescent="0.15">
      <c r="E166" s="17"/>
    </row>
    <row r="167" spans="5:5" x14ac:dyDescent="0.15">
      <c r="E167" s="17"/>
    </row>
    <row r="168" spans="5:5" x14ac:dyDescent="0.15">
      <c r="E168" s="17"/>
    </row>
    <row r="169" spans="5:5" x14ac:dyDescent="0.15">
      <c r="E169" s="17"/>
    </row>
    <row r="170" spans="5:5" x14ac:dyDescent="0.15">
      <c r="E170" s="17"/>
    </row>
    <row r="171" spans="5:5" x14ac:dyDescent="0.15">
      <c r="E171" s="17"/>
    </row>
    <row r="172" spans="5:5" x14ac:dyDescent="0.15">
      <c r="E172" s="17"/>
    </row>
    <row r="173" spans="5:5" x14ac:dyDescent="0.15">
      <c r="E173" s="17"/>
    </row>
    <row r="174" spans="5:5" x14ac:dyDescent="0.15">
      <c r="E174" s="17"/>
    </row>
    <row r="175" spans="5:5" x14ac:dyDescent="0.15">
      <c r="E175" s="17"/>
    </row>
    <row r="176" spans="5:5" x14ac:dyDescent="0.15">
      <c r="E176" s="17"/>
    </row>
    <row r="177" spans="5:5" x14ac:dyDescent="0.15">
      <c r="E177" s="17"/>
    </row>
    <row r="178" spans="5:5" x14ac:dyDescent="0.15">
      <c r="E178" s="17"/>
    </row>
    <row r="179" spans="5:5" x14ac:dyDescent="0.15">
      <c r="E179" s="17"/>
    </row>
    <row r="180" spans="5:5" x14ac:dyDescent="0.15">
      <c r="E180" s="17"/>
    </row>
    <row r="181" spans="5:5" x14ac:dyDescent="0.15">
      <c r="E181" s="17"/>
    </row>
    <row r="182" spans="5:5" x14ac:dyDescent="0.15">
      <c r="E182" s="17"/>
    </row>
    <row r="183" spans="5:5" x14ac:dyDescent="0.15">
      <c r="E183" s="17"/>
    </row>
    <row r="184" spans="5:5" x14ac:dyDescent="0.15">
      <c r="E184" s="17"/>
    </row>
    <row r="185" spans="5:5" x14ac:dyDescent="0.15">
      <c r="E185" s="17"/>
    </row>
    <row r="186" spans="5:5" x14ac:dyDescent="0.15">
      <c r="E186" s="17"/>
    </row>
    <row r="187" spans="5:5" x14ac:dyDescent="0.15">
      <c r="E187" s="17"/>
    </row>
    <row r="188" spans="5:5" x14ac:dyDescent="0.15">
      <c r="E188" s="17"/>
    </row>
    <row r="189" spans="5:5" x14ac:dyDescent="0.15">
      <c r="E189" s="17"/>
    </row>
    <row r="190" spans="5:5" x14ac:dyDescent="0.15">
      <c r="E190" s="17"/>
    </row>
    <row r="191" spans="5:5" x14ac:dyDescent="0.15">
      <c r="E191" s="17"/>
    </row>
    <row r="192" spans="5:5" x14ac:dyDescent="0.15">
      <c r="E192" s="17"/>
    </row>
    <row r="193" spans="5:5" x14ac:dyDescent="0.15">
      <c r="E193" s="17"/>
    </row>
    <row r="194" spans="5:5" x14ac:dyDescent="0.15">
      <c r="E194" s="17"/>
    </row>
    <row r="195" spans="5:5" x14ac:dyDescent="0.15">
      <c r="E195" s="17"/>
    </row>
    <row r="196" spans="5:5" x14ac:dyDescent="0.15">
      <c r="E196" s="17"/>
    </row>
    <row r="197" spans="5:5" x14ac:dyDescent="0.15">
      <c r="E197" s="17"/>
    </row>
    <row r="198" spans="5:5" x14ac:dyDescent="0.15">
      <c r="E198" s="17"/>
    </row>
    <row r="199" spans="5:5" x14ac:dyDescent="0.15">
      <c r="E199" s="17"/>
    </row>
    <row r="200" spans="5:5" x14ac:dyDescent="0.15">
      <c r="E200" s="17"/>
    </row>
    <row r="201" spans="5:5" x14ac:dyDescent="0.15">
      <c r="E201" s="17"/>
    </row>
    <row r="202" spans="5:5" x14ac:dyDescent="0.15">
      <c r="E202" s="17"/>
    </row>
    <row r="203" spans="5:5" x14ac:dyDescent="0.15">
      <c r="E203" s="17"/>
    </row>
    <row r="204" spans="5:5" x14ac:dyDescent="0.15">
      <c r="E204" s="17"/>
    </row>
    <row r="205" spans="5:5" x14ac:dyDescent="0.15">
      <c r="E205" s="17"/>
    </row>
    <row r="206" spans="5:5" x14ac:dyDescent="0.15">
      <c r="E206" s="17"/>
    </row>
    <row r="207" spans="5:5" x14ac:dyDescent="0.15">
      <c r="E207" s="17"/>
    </row>
    <row r="208" spans="5:5" x14ac:dyDescent="0.15">
      <c r="E208" s="17"/>
    </row>
    <row r="209" spans="5:5" x14ac:dyDescent="0.15">
      <c r="E209" s="17"/>
    </row>
    <row r="210" spans="5:5" x14ac:dyDescent="0.15">
      <c r="E210" s="17"/>
    </row>
    <row r="211" spans="5:5" x14ac:dyDescent="0.15">
      <c r="E211" s="17"/>
    </row>
    <row r="212" spans="5:5" x14ac:dyDescent="0.15">
      <c r="E212" s="17"/>
    </row>
    <row r="213" spans="5:5" x14ac:dyDescent="0.15">
      <c r="E213" s="17"/>
    </row>
    <row r="214" spans="5:5" x14ac:dyDescent="0.15">
      <c r="E214" s="17"/>
    </row>
    <row r="215" spans="5:5" x14ac:dyDescent="0.15">
      <c r="E215" s="17"/>
    </row>
    <row r="216" spans="5:5" x14ac:dyDescent="0.15">
      <c r="E216" s="17"/>
    </row>
    <row r="217" spans="5:5" x14ac:dyDescent="0.15">
      <c r="E217" s="17"/>
    </row>
    <row r="218" spans="5:5" x14ac:dyDescent="0.15">
      <c r="E218" s="17"/>
    </row>
    <row r="219" spans="5:5" x14ac:dyDescent="0.15">
      <c r="E219" s="17"/>
    </row>
    <row r="220" spans="5:5" x14ac:dyDescent="0.15">
      <c r="E220" s="17"/>
    </row>
    <row r="221" spans="5:5" x14ac:dyDescent="0.15">
      <c r="E221" s="17"/>
    </row>
    <row r="222" spans="5:5" x14ac:dyDescent="0.15">
      <c r="E222" s="17"/>
    </row>
    <row r="223" spans="5:5" x14ac:dyDescent="0.15">
      <c r="E223" s="17"/>
    </row>
    <row r="224" spans="5:5" x14ac:dyDescent="0.15">
      <c r="E224" s="17"/>
    </row>
    <row r="225" spans="5:5" x14ac:dyDescent="0.15">
      <c r="E225" s="17"/>
    </row>
    <row r="226" spans="5:5" x14ac:dyDescent="0.15">
      <c r="E226" s="17"/>
    </row>
    <row r="227" spans="5:5" x14ac:dyDescent="0.15">
      <c r="E227" s="17"/>
    </row>
    <row r="228" spans="5:5" x14ac:dyDescent="0.15">
      <c r="E228" s="17"/>
    </row>
    <row r="229" spans="5:5" x14ac:dyDescent="0.15">
      <c r="E229" s="17"/>
    </row>
    <row r="230" spans="5:5" x14ac:dyDescent="0.15">
      <c r="E230" s="17"/>
    </row>
    <row r="231" spans="5:5" x14ac:dyDescent="0.15">
      <c r="E231" s="17"/>
    </row>
    <row r="232" spans="5:5" x14ac:dyDescent="0.15">
      <c r="E232" s="17"/>
    </row>
    <row r="233" spans="5:5" x14ac:dyDescent="0.15">
      <c r="E233" s="17"/>
    </row>
    <row r="234" spans="5:5" x14ac:dyDescent="0.15">
      <c r="E234" s="17"/>
    </row>
    <row r="235" spans="5:5" x14ac:dyDescent="0.15">
      <c r="E235" s="17"/>
    </row>
    <row r="236" spans="5:5" x14ac:dyDescent="0.15">
      <c r="E236" s="17"/>
    </row>
    <row r="237" spans="5:5" x14ac:dyDescent="0.15">
      <c r="E237" s="17"/>
    </row>
    <row r="238" spans="5:5" x14ac:dyDescent="0.15">
      <c r="E238" s="17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47625</xdr:colOff>
                    <xdr:row>6</xdr:row>
                    <xdr:rowOff>133350</xdr:rowOff>
                  </from>
                  <to>
                    <xdr:col>3</xdr:col>
                    <xdr:colOff>438150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例題2.18 層流境界層方程式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itolab200</cp:lastModifiedBy>
  <cp:lastPrinted>2015-03-16T04:42:31Z</cp:lastPrinted>
  <dcterms:created xsi:type="dcterms:W3CDTF">2004-11-30T07:49:30Z</dcterms:created>
  <dcterms:modified xsi:type="dcterms:W3CDTF">2017-02-02T13:14:27Z</dcterms:modified>
</cp:coreProperties>
</file>