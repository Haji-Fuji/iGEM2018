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1014" yWindow="1753" windowWidth="14337" windowHeight="12835"/>
  </bookViews>
  <sheets>
    <sheet name="例題1.14加熱・冷却撹拌槽の温度制御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G5" i="2" l="1"/>
  <c r="B5" i="2" s="1"/>
  <c r="G4" i="2"/>
  <c r="C5" i="2" l="1"/>
</calcChain>
</file>

<file path=xl/comments1.xml><?xml version="1.0" encoding="utf-8"?>
<comments xmlns="http://schemas.openxmlformats.org/spreadsheetml/2006/main">
  <authors>
    <author>aito</author>
  </authors>
  <commentList>
    <comment ref="G4" authorId="0" shapeId="0">
      <text>
        <r>
          <rPr>
            <sz val="10"/>
            <color indexed="81"/>
            <rFont val="ＭＳ Ｐゴシック"/>
            <family val="3"/>
            <charset val="128"/>
          </rPr>
          <t>=IF(A3&lt;250,100,80)</t>
        </r>
      </text>
    </commen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>=(1/G2)*(C3-B3)+(1/G3)*(G5-B3)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>=-G6*B5+(G6/G7)*(G4-B3)</t>
        </r>
      </text>
    </comment>
    <comment ref="G5" authorId="0" shapeId="0">
      <text>
        <r>
          <rPr>
            <sz val="10"/>
            <color indexed="81"/>
            <rFont val="ＭＳ Ｐゴシック"/>
            <family val="3"/>
            <charset val="128"/>
          </rPr>
          <t>=IF(A3&lt;450,20,0)</t>
        </r>
      </text>
    </comment>
  </commentList>
</comments>
</file>

<file path=xl/sharedStrings.xml><?xml version="1.0" encoding="utf-8"?>
<sst xmlns="http://schemas.openxmlformats.org/spreadsheetml/2006/main" count="22" uniqueCount="22">
  <si>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</si>
  <si>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</si>
  <si>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</si>
  <si>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</si>
  <si>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</si>
  <si>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t=</t>
    <phoneticPr fontId="2"/>
  </si>
  <si>
    <t>t</t>
    <phoneticPr fontId="2"/>
  </si>
  <si>
    <t>←初期値</t>
    <rPh sb="1" eb="4">
      <t>ショキチ</t>
    </rPh>
    <phoneticPr fontId="2"/>
  </si>
  <si>
    <t>T=</t>
    <phoneticPr fontId="2"/>
  </si>
  <si>
    <t>T</t>
    <phoneticPr fontId="2"/>
  </si>
  <si>
    <t>T'=</t>
    <phoneticPr fontId="2"/>
  </si>
  <si>
    <t>τ1=</t>
    <phoneticPr fontId="2"/>
  </si>
  <si>
    <t>τ2=</t>
    <phoneticPr fontId="2"/>
  </si>
  <si>
    <t>T1=</t>
    <phoneticPr fontId="2"/>
  </si>
  <si>
    <t>T2=</t>
    <phoneticPr fontId="2"/>
  </si>
  <si>
    <t>T1</t>
    <phoneticPr fontId="2"/>
  </si>
  <si>
    <t>T1'=</t>
    <phoneticPr fontId="2"/>
  </si>
  <si>
    <t>Tset=</t>
    <phoneticPr fontId="2"/>
  </si>
  <si>
    <t>Kc=</t>
    <phoneticPr fontId="2"/>
  </si>
  <si>
    <t>TI=</t>
    <phoneticPr fontId="2"/>
  </si>
  <si>
    <t>積分区間t=[a,</t>
    <rPh sb="0" eb="2">
      <t>セキブン</t>
    </rPh>
    <rPh sb="2" eb="4">
      <t>クカン</t>
    </rPh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</si>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</sst>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_);[Red]\(0.0\)"/>
    <numFmt numFmtId="181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6">
    <xf numFmtId="0" fontId="0" fillId="0" borderId="0" xfId="0">
      <alignment vertical="center"/>
    </xf>
    <xf numFmtId="0" fontId="3" fillId="0" borderId="0" xfId="2" applyFont="1"/>
    <xf numFmtId="177" fontId="3" fillId="0" borderId="0" xfId="2" applyNumberFormat="1" applyFont="1"/>
    <xf numFmtId="178" fontId="3" fillId="0" borderId="0" xfId="2" applyNumberFormat="1" applyFont="1"/>
    <xf numFmtId="178" fontId="3" fillId="0" borderId="0" xfId="2" applyNumberFormat="1" applyFont="1" applyAlignment="1">
      <alignment horizontal="right"/>
    </xf>
    <xf numFmtId="0" fontId="3" fillId="0" borderId="1" xfId="2" applyFont="1" applyBorder="1"/>
    <xf numFmtId="0" fontId="3" fillId="0" borderId="2" xfId="2" applyFont="1" applyBorder="1"/>
    <xf numFmtId="0" fontId="3" fillId="0" borderId="3" xfId="2" applyFont="1" applyBorder="1"/>
    <xf numFmtId="0" fontId="3" fillId="0" borderId="4" xfId="2" applyFont="1" applyBorder="1"/>
    <xf numFmtId="0" fontId="3" fillId="0" borderId="5" xfId="2" applyFont="1" applyBorder="1"/>
    <xf numFmtId="0" fontId="3" fillId="0" borderId="6" xfId="2" applyFont="1" applyBorder="1"/>
    <xf numFmtId="179" fontId="3" fillId="0" borderId="0" xfId="2" applyNumberFormat="1" applyFont="1"/>
    <xf numFmtId="0" fontId="3" fillId="0" borderId="0" xfId="2" applyFont="1" applyAlignment="1">
      <alignment horizontal="right"/>
    </xf>
    <xf numFmtId="11" fontId="3" fillId="0" borderId="7" xfId="2" applyNumberFormat="1" applyFont="1" applyBorder="1"/>
    <xf numFmtId="0" fontId="3" fillId="0" borderId="0" xfId="2" applyNumberFormat="1" applyFont="1"/>
    <xf numFmtId="11" fontId="3" fillId="0" borderId="4" xfId="2" applyNumberFormat="1" applyFont="1" applyBorder="1"/>
    <xf numFmtId="178" fontId="3" fillId="0" borderId="0" xfId="2" applyNumberFormat="1" applyFont="1" applyBorder="1"/>
    <xf numFmtId="176" fontId="3" fillId="0" borderId="5" xfId="2" applyNumberFormat="1" applyFont="1" applyBorder="1"/>
    <xf numFmtId="176" fontId="3" fillId="0" borderId="0" xfId="2" applyNumberFormat="1" applyFont="1"/>
    <xf numFmtId="181" fontId="3" fillId="0" borderId="0" xfId="2" applyNumberFormat="1" applyFont="1"/>
    <xf numFmtId="0" fontId="3" fillId="0" borderId="0" xfId="2" applyFont="1" applyBorder="1"/>
    <xf numFmtId="177" fontId="3" fillId="0" borderId="0" xfId="2" applyNumberFormat="1" applyFont="1" applyAlignment="1">
      <alignment horizontal="right"/>
    </xf>
    <xf numFmtId="180" fontId="3" fillId="0" borderId="7" xfId="2" applyNumberFormat="1" applyFont="1" applyBorder="1"/>
    <xf numFmtId="180" fontId="3" fillId="0" borderId="0" xfId="2" applyNumberFormat="1" applyFont="1"/>
    <xf numFmtId="180" fontId="3" fillId="0" borderId="4" xfId="2" applyNumberFormat="1" applyFont="1" applyBorder="1"/>
    <xf numFmtId="0" fontId="5" fillId="0" borderId="0" xfId="1" applyFont="1" applyAlignment="1" applyProtection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515935248055083"/>
          <c:y val="2.514050286165849E-2"/>
          <c:w val="0.79185259205297731"/>
          <c:h val="0.74670120511058879"/>
        </c:manualLayout>
      </c:layout>
      <c:scatterChart>
        <c:scatterStyle val="smoothMarker"/>
        <c:varyColors val="0"/>
        <c:ser>
          <c:idx val="0"/>
          <c:order val="0"/>
          <c:tx>
            <c:v>T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'例題1.14加熱・冷却撹拌槽の温度制御'!$A$12:$A$132</c:f>
              <c:numCache>
                <c:formatCode>General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 formatCode="0.00_);[Red]\(0.00\)">
                  <c:v>460</c:v>
                </c:pt>
                <c:pt idx="93" formatCode="0.00_);[Red]\(0.00\)">
                  <c:v>465</c:v>
                </c:pt>
                <c:pt idx="94" formatCode="0.00_);[Red]\(0.00\)">
                  <c:v>470</c:v>
                </c:pt>
                <c:pt idx="95" formatCode="0.00_);[Red]\(0.00\)">
                  <c:v>475</c:v>
                </c:pt>
                <c:pt idx="96" formatCode="0.00_);[Red]\(0.00\)">
                  <c:v>480</c:v>
                </c:pt>
                <c:pt idx="97" formatCode="0.00_);[Red]\(0.00\)">
                  <c:v>485</c:v>
                </c:pt>
                <c:pt idx="98" formatCode="0.00_);[Red]\(0.00\)">
                  <c:v>490</c:v>
                </c:pt>
                <c:pt idx="99" formatCode="0.00_);[Red]\(0.00\)">
                  <c:v>495</c:v>
                </c:pt>
                <c:pt idx="100" formatCode="0.00_);[Red]\(0.00\)">
                  <c:v>500</c:v>
                </c:pt>
                <c:pt idx="101" formatCode="0.00_);[Red]\(0.00\)">
                  <c:v>505</c:v>
                </c:pt>
                <c:pt idx="102" formatCode="0.00_);[Red]\(0.00\)">
                  <c:v>510</c:v>
                </c:pt>
                <c:pt idx="103" formatCode="0.00_);[Red]\(0.00\)">
                  <c:v>515</c:v>
                </c:pt>
                <c:pt idx="104" formatCode="0.00_);[Red]\(0.00\)">
                  <c:v>520</c:v>
                </c:pt>
                <c:pt idx="105" formatCode="0.00_);[Red]\(0.00\)">
                  <c:v>525</c:v>
                </c:pt>
                <c:pt idx="106" formatCode="0.00_);[Red]\(0.00\)">
                  <c:v>530</c:v>
                </c:pt>
                <c:pt idx="107" formatCode="0.00_);[Red]\(0.00\)">
                  <c:v>535</c:v>
                </c:pt>
                <c:pt idx="108" formatCode="0.00_);[Red]\(0.00\)">
                  <c:v>540</c:v>
                </c:pt>
                <c:pt idx="109" formatCode="0.00_);[Red]\(0.00\)">
                  <c:v>545</c:v>
                </c:pt>
                <c:pt idx="110" formatCode="0.00_);[Red]\(0.00\)">
                  <c:v>550</c:v>
                </c:pt>
                <c:pt idx="111" formatCode="0.00_);[Red]\(0.00\)">
                  <c:v>555</c:v>
                </c:pt>
                <c:pt idx="112" formatCode="0.00_);[Red]\(0.00\)">
                  <c:v>560</c:v>
                </c:pt>
                <c:pt idx="113" formatCode="0.00_);[Red]\(0.00\)">
                  <c:v>565</c:v>
                </c:pt>
                <c:pt idx="114" formatCode="0.00_);[Red]\(0.00\)">
                  <c:v>570</c:v>
                </c:pt>
                <c:pt idx="115" formatCode="0.00_);[Red]\(0.00\)">
                  <c:v>575</c:v>
                </c:pt>
                <c:pt idx="116" formatCode="0.00_);[Red]\(0.00\)">
                  <c:v>580</c:v>
                </c:pt>
                <c:pt idx="117" formatCode="0.00_);[Red]\(0.00\)">
                  <c:v>585</c:v>
                </c:pt>
                <c:pt idx="118" formatCode="0.00_);[Red]\(0.00\)">
                  <c:v>590</c:v>
                </c:pt>
                <c:pt idx="119" formatCode="0.00_);[Red]\(0.00\)">
                  <c:v>595</c:v>
                </c:pt>
                <c:pt idx="120" formatCode="0.00_);[Red]\(0.00\)">
                  <c:v>600</c:v>
                </c:pt>
              </c:numCache>
            </c:numRef>
          </c:xVal>
          <c:yVal>
            <c:numRef>
              <c:f>'例題1.14加熱・冷却撹拌槽の温度制御'!$B$12:$B$132</c:f>
              <c:numCache>
                <c:formatCode>0.0_);[Red]\(0.0\)</c:formatCode>
                <c:ptCount val="121"/>
                <c:pt idx="0">
                  <c:v>20</c:v>
                </c:pt>
                <c:pt idx="1">
                  <c:v>31.048177083333336</c:v>
                </c:pt>
                <c:pt idx="2">
                  <c:v>43.445944256252716</c:v>
                </c:pt>
                <c:pt idx="3">
                  <c:v>56.212730824050531</c:v>
                </c:pt>
                <c:pt idx="4">
                  <c:v>68.564557279406273</c:v>
                </c:pt>
                <c:pt idx="5">
                  <c:v>79.913681374997495</c:v>
                </c:pt>
                <c:pt idx="6">
                  <c:v>89.857526622148683</c:v>
                </c:pt>
                <c:pt idx="7">
                  <c:v>98.159872927968024</c:v>
                </c:pt>
                <c:pt idx="8">
                  <c:v>104.72705569368398</c:v>
                </c:pt>
                <c:pt idx="9">
                  <c:v>109.58158684358278</c:v>
                </c:pt>
                <c:pt idx="10">
                  <c:v>112.83521924912228</c:v>
                </c:pt>
                <c:pt idx="11">
                  <c:v>114.66305950606447</c:v>
                </c:pt>
                <c:pt idx="12">
                  <c:v>115.27992134724327</c:v>
                </c:pt>
                <c:pt idx="13">
                  <c:v>114.91972498541942</c:v>
                </c:pt>
                <c:pt idx="14">
                  <c:v>113.81840198773864</c:v>
                </c:pt>
                <c:pt idx="15">
                  <c:v>112.20047076956638</c:v>
                </c:pt>
                <c:pt idx="16">
                  <c:v>110.2692093430654</c:v>
                </c:pt>
                <c:pt idx="17">
                  <c:v>108.20017028289369</c:v>
                </c:pt>
                <c:pt idx="18">
                  <c:v>106.13765541340176</c:v>
                </c:pt>
                <c:pt idx="19">
                  <c:v>104.19368949889295</c:v>
                </c:pt>
                <c:pt idx="20">
                  <c:v>102.44899664392049</c:v>
                </c:pt>
                <c:pt idx="21">
                  <c:v>100.95548270797417</c:v>
                </c:pt>
                <c:pt idx="22">
                  <c:v>99.739754050717593</c:v>
                </c:pt>
                <c:pt idx="23">
                  <c:v>98.807249800336947</c:v>
                </c:pt>
                <c:pt idx="24">
                  <c:v>98.146624605829132</c:v>
                </c:pt>
                <c:pt idx="25">
                  <c:v>97.734085354527579</c:v>
                </c:pt>
                <c:pt idx="26">
                  <c:v>97.53745345573904</c:v>
                </c:pt>
                <c:pt idx="27">
                  <c:v>97.519789908785327</c:v>
                </c:pt>
                <c:pt idx="28">
                  <c:v>97.642480432565776</c:v>
                </c:pt>
                <c:pt idx="29">
                  <c:v>97.86773035938927</c:v>
                </c:pt>
                <c:pt idx="30">
                  <c:v>98.160462592496259</c:v>
                </c:pt>
                <c:pt idx="31">
                  <c:v>98.489646248837218</c:v>
                </c:pt>
                <c:pt idx="32">
                  <c:v>98.829108819519902</c:v>
                </c:pt>
                <c:pt idx="33">
                  <c:v>99.157901408254176</c:v>
                </c:pt>
                <c:pt idx="34">
                  <c:v>99.46029580917633</c:v>
                </c:pt>
                <c:pt idx="35">
                  <c:v>99.725495018301729</c:v>
                </c:pt>
                <c:pt idx="36">
                  <c:v>99.947136490267965</c:v>
                </c:pt>
                <c:pt idx="37">
                  <c:v>100.12266131105191</c:v>
                </c:pt>
                <c:pt idx="38">
                  <c:v>100.25261364925437</c:v>
                </c:pt>
                <c:pt idx="39">
                  <c:v>100.33992444785379</c:v>
                </c:pt>
                <c:pt idx="40">
                  <c:v>100.38922224949181</c:v>
                </c:pt>
                <c:pt idx="41">
                  <c:v>100.40620306809919</c:v>
                </c:pt>
                <c:pt idx="42">
                  <c:v>100.39708091247907</c:v>
                </c:pt>
                <c:pt idx="43">
                  <c:v>100.36813135150325</c:v>
                </c:pt>
                <c:pt idx="44">
                  <c:v>100.3253326514868</c:v>
                </c:pt>
                <c:pt idx="45">
                  <c:v>100.27410264632329</c:v>
                </c:pt>
                <c:pt idx="46">
                  <c:v>100.2191246411512</c:v>
                </c:pt>
                <c:pt idx="47">
                  <c:v>100.16425223400641</c:v>
                </c:pt>
                <c:pt idx="48">
                  <c:v>100.11248083575478</c:v>
                </c:pt>
                <c:pt idx="49">
                  <c:v>100.06597270211651</c:v>
                </c:pt>
                <c:pt idx="50">
                  <c:v>100.02612226431728</c:v>
                </c:pt>
                <c:pt idx="51">
                  <c:v>99.23830528357324</c:v>
                </c:pt>
                <c:pt idx="52">
                  <c:v>97.566363364262017</c:v>
                </c:pt>
                <c:pt idx="53">
                  <c:v>95.29783694311628</c:v>
                </c:pt>
                <c:pt idx="54">
                  <c:v>92.689486046586651</c:v>
                </c:pt>
                <c:pt idx="55">
                  <c:v>89.959973135148829</c:v>
                </c:pt>
                <c:pt idx="56">
                  <c:v>87.2862603417136</c:v>
                </c:pt>
                <c:pt idx="57">
                  <c:v>84.803097720381203</c:v>
                </c:pt>
                <c:pt idx="58">
                  <c:v>82.604946958273771</c:v>
                </c:pt>
                <c:pt idx="59">
                  <c:v>80.749696018407931</c:v>
                </c:pt>
                <c:pt idx="60">
                  <c:v>79.26356421882943</c:v>
                </c:pt>
                <c:pt idx="61">
                  <c:v>78.146664585696541</c:v>
                </c:pt>
                <c:pt idx="62">
                  <c:v>77.378772088750068</c:v>
                </c:pt>
                <c:pt idx="63">
                  <c:v>76.924934884476983</c:v>
                </c:pt>
                <c:pt idx="64">
                  <c:v>76.740654593392222</c:v>
                </c:pt>
                <c:pt idx="65">
                  <c:v>76.776445947402308</c:v>
                </c:pt>
                <c:pt idx="66">
                  <c:v>76.981662238555415</c:v>
                </c:pt>
                <c:pt idx="67">
                  <c:v>77.3075385121913</c:v>
                </c:pt>
                <c:pt idx="68">
                  <c:v>77.709458112493508</c:v>
                </c:pt>
                <c:pt idx="69">
                  <c:v>78.148489674750152</c:v>
                </c:pt>
                <c:pt idx="70">
                  <c:v>78.592271377712478</c:v>
                </c:pt>
                <c:pt idx="71">
                  <c:v>79.015338189119532</c:v>
                </c:pt>
                <c:pt idx="72">
                  <c:v>79.398997305601085</c:v>
                </c:pt>
                <c:pt idx="73">
                  <c:v>79.730858574482184</c:v>
                </c:pt>
                <c:pt idx="74">
                  <c:v>80.004122045604262</c:v>
                </c:pt>
                <c:pt idx="75">
                  <c:v>80.216715568452216</c:v>
                </c:pt>
                <c:pt idx="76">
                  <c:v>80.370363047588981</c:v>
                </c:pt>
                <c:pt idx="77">
                  <c:v>80.469649953386707</c:v>
                </c:pt>
                <c:pt idx="78">
                  <c:v>80.521138105446539</c:v>
                </c:pt>
                <c:pt idx="79">
                  <c:v>80.532567529662799</c:v>
                </c:pt>
                <c:pt idx="80">
                  <c:v>80.512170038392725</c:v>
                </c:pt>
                <c:pt idx="81">
                  <c:v>80.468107584605491</c:v>
                </c:pt>
                <c:pt idx="82">
                  <c:v>80.408038689804386</c:v>
                </c:pt>
                <c:pt idx="83">
                  <c:v>80.338808469743014</c:v>
                </c:pt>
                <c:pt idx="84">
                  <c:v>80.266251972350176</c:v>
                </c:pt>
                <c:pt idx="85">
                  <c:v>80.195096583553806</c:v>
                </c:pt>
                <c:pt idx="86">
                  <c:v>80.128946957241851</c:v>
                </c:pt>
                <c:pt idx="87">
                  <c:v>80.070335044905178</c:v>
                </c:pt>
                <c:pt idx="88">
                  <c:v>80.020818073210108</c:v>
                </c:pt>
                <c:pt idx="89">
                  <c:v>79.981108473723424</c:v>
                </c:pt>
                <c:pt idx="90">
                  <c:v>79.867888215961074</c:v>
                </c:pt>
                <c:pt idx="91">
                  <c:v>79.430099858801327</c:v>
                </c:pt>
                <c:pt idx="92" formatCode="0.000_);[Red]\(0.000\)">
                  <c:v>79.120498623830883</c:v>
                </c:pt>
                <c:pt idx="93" formatCode="0.000_);[Red]\(0.000\)">
                  <c:v>78.927763288693129</c:v>
                </c:pt>
                <c:pt idx="94" formatCode="0.000_);[Red]\(0.000\)">
                  <c:v>78.836647475548617</c:v>
                </c:pt>
                <c:pt idx="95" formatCode="0.000_);[Red]\(0.000\)">
                  <c:v>78.829686625733359</c:v>
                </c:pt>
                <c:pt idx="96" formatCode="0.000_);[Red]\(0.000\)">
                  <c:v>78.888649440215048</c:v>
                </c:pt>
                <c:pt idx="97" formatCode="0.000_);[Red]\(0.000\)">
                  <c:v>78.99571045747679</c:v>
                </c:pt>
                <c:pt idx="98" formatCode="0.000_);[Red]\(0.000\)">
                  <c:v>79.13434094189742</c:v>
                </c:pt>
                <c:pt idx="99" formatCode="0.000_);[Red]\(0.000\)">
                  <c:v>79.289931377942679</c:v>
                </c:pt>
                <c:pt idx="100" formatCode="0.000_);[Red]\(0.000\)">
                  <c:v>79.450170690212914</c:v>
                </c:pt>
                <c:pt idx="101" formatCode="0.000_);[Red]\(0.000\)">
                  <c:v>79.605215136648994</c:v>
                </c:pt>
                <c:pt idx="102" formatCode="0.000_);[Red]\(0.000\)">
                  <c:v>79.747684105568467</c:v>
                </c:pt>
                <c:pt idx="103" formatCode="0.000_);[Red]\(0.000\)">
                  <c:v>79.872521334915731</c:v>
                </c:pt>
                <c:pt idx="104" formatCode="0.000_);[Red]\(0.000\)">
                  <c:v>79.976758955929753</c:v>
                </c:pt>
                <c:pt idx="105" formatCode="0.000_);[Red]\(0.000\)">
                  <c:v>80.059218836483694</c:v>
                </c:pt>
                <c:pt idx="106" formatCode="0.000_);[Red]\(0.000\)">
                  <c:v>80.120181523181685</c:v>
                </c:pt>
                <c:pt idx="107" formatCode="0.000_);[Red]\(0.000\)">
                  <c:v>80.16104816197219</c:v>
                </c:pt>
                <c:pt idx="108" formatCode="0.000_);[Red]\(0.000\)">
                  <c:v>80.184015549567732</c:v>
                </c:pt>
                <c:pt idx="109" formatCode="0.000_);[Red]\(0.000\)">
                  <c:v>80.191779288091453</c:v>
                </c:pt>
                <c:pt idx="110" formatCode="0.000_);[Red]\(0.000\)">
                  <c:v>80.18727515753956</c:v>
                </c:pt>
                <c:pt idx="111" formatCode="0.000_);[Red]\(0.000\)">
                  <c:v>80.173464480874685</c:v>
                </c:pt>
                <c:pt idx="112" formatCode="0.000_);[Red]\(0.000\)">
                  <c:v>80.153165559008599</c:v>
                </c:pt>
                <c:pt idx="113" formatCode="0.000_);[Red]\(0.000\)">
                  <c:v>80.128930258960011</c:v>
                </c:pt>
                <c:pt idx="114" formatCode="0.000_);[Red]\(0.000\)">
                  <c:v>80.102962557170272</c:v>
                </c:pt>
                <c:pt idx="115" formatCode="0.000_);[Red]\(0.000\)">
                  <c:v>80.077074239195028</c:v>
                </c:pt>
                <c:pt idx="116" formatCode="0.000_);[Red]\(0.000\)">
                  <c:v>80.052671974300395</c:v>
                </c:pt>
                <c:pt idx="117" formatCode="0.000_);[Red]\(0.000\)">
                  <c:v>80.03076953622724</c:v>
                </c:pt>
                <c:pt idx="118" formatCode="0.000_);[Red]\(0.000\)">
                  <c:v>80.012018935723077</c:v>
                </c:pt>
                <c:pt idx="119" formatCode="0.000_);[Red]\(0.000\)">
                  <c:v>79.996754569010534</c:v>
                </c:pt>
                <c:pt idx="120" formatCode="0.000_);[Red]\(0.000\)">
                  <c:v>79.98504507439803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13-459F-9666-B365E72E68F2}"/>
            </c:ext>
          </c:extLst>
        </c:ser>
        <c:ser>
          <c:idx val="1"/>
          <c:order val="1"/>
          <c:tx>
            <c:v>T1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'例題1.14加熱・冷却撹拌槽の温度制御'!$A$12:$A$132</c:f>
              <c:numCache>
                <c:formatCode>General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 formatCode="0.00_);[Red]\(0.00\)">
                  <c:v>460</c:v>
                </c:pt>
                <c:pt idx="93" formatCode="0.00_);[Red]\(0.00\)">
                  <c:v>465</c:v>
                </c:pt>
                <c:pt idx="94" formatCode="0.00_);[Red]\(0.00\)">
                  <c:v>470</c:v>
                </c:pt>
                <c:pt idx="95" formatCode="0.00_);[Red]\(0.00\)">
                  <c:v>475</c:v>
                </c:pt>
                <c:pt idx="96" formatCode="0.00_);[Red]\(0.00\)">
                  <c:v>480</c:v>
                </c:pt>
                <c:pt idx="97" formatCode="0.00_);[Red]\(0.00\)">
                  <c:v>485</c:v>
                </c:pt>
                <c:pt idx="98" formatCode="0.00_);[Red]\(0.00\)">
                  <c:v>490</c:v>
                </c:pt>
                <c:pt idx="99" formatCode="0.00_);[Red]\(0.00\)">
                  <c:v>495</c:v>
                </c:pt>
                <c:pt idx="100" formatCode="0.00_);[Red]\(0.00\)">
                  <c:v>500</c:v>
                </c:pt>
                <c:pt idx="101" formatCode="0.00_);[Red]\(0.00\)">
                  <c:v>505</c:v>
                </c:pt>
                <c:pt idx="102" formatCode="0.00_);[Red]\(0.00\)">
                  <c:v>510</c:v>
                </c:pt>
                <c:pt idx="103" formatCode="0.00_);[Red]\(0.00\)">
                  <c:v>515</c:v>
                </c:pt>
                <c:pt idx="104" formatCode="0.00_);[Red]\(0.00\)">
                  <c:v>520</c:v>
                </c:pt>
                <c:pt idx="105" formatCode="0.00_);[Red]\(0.00\)">
                  <c:v>525</c:v>
                </c:pt>
                <c:pt idx="106" formatCode="0.00_);[Red]\(0.00\)">
                  <c:v>530</c:v>
                </c:pt>
                <c:pt idx="107" formatCode="0.00_);[Red]\(0.00\)">
                  <c:v>535</c:v>
                </c:pt>
                <c:pt idx="108" formatCode="0.00_);[Red]\(0.00\)">
                  <c:v>540</c:v>
                </c:pt>
                <c:pt idx="109" formatCode="0.00_);[Red]\(0.00\)">
                  <c:v>545</c:v>
                </c:pt>
                <c:pt idx="110" formatCode="0.00_);[Red]\(0.00\)">
                  <c:v>550</c:v>
                </c:pt>
                <c:pt idx="111" formatCode="0.00_);[Red]\(0.00\)">
                  <c:v>555</c:v>
                </c:pt>
                <c:pt idx="112" formatCode="0.00_);[Red]\(0.00\)">
                  <c:v>560</c:v>
                </c:pt>
                <c:pt idx="113" formatCode="0.00_);[Red]\(0.00\)">
                  <c:v>565</c:v>
                </c:pt>
                <c:pt idx="114" formatCode="0.00_);[Red]\(0.00\)">
                  <c:v>570</c:v>
                </c:pt>
                <c:pt idx="115" formatCode="0.00_);[Red]\(0.00\)">
                  <c:v>575</c:v>
                </c:pt>
                <c:pt idx="116" formatCode="0.00_);[Red]\(0.00\)">
                  <c:v>580</c:v>
                </c:pt>
                <c:pt idx="117" formatCode="0.00_);[Red]\(0.00\)">
                  <c:v>585</c:v>
                </c:pt>
                <c:pt idx="118" formatCode="0.00_);[Red]\(0.00\)">
                  <c:v>590</c:v>
                </c:pt>
                <c:pt idx="119" formatCode="0.00_);[Red]\(0.00\)">
                  <c:v>595</c:v>
                </c:pt>
                <c:pt idx="120" formatCode="0.00_);[Red]\(0.00\)">
                  <c:v>600</c:v>
                </c:pt>
              </c:numCache>
            </c:numRef>
          </c:xVal>
          <c:yVal>
            <c:numRef>
              <c:f>'例題1.14加熱・冷却撹拌槽の温度制御'!$C$12:$C$132</c:f>
              <c:numCache>
                <c:formatCode>0.0_);[Red]\(0.0\)</c:formatCode>
                <c:ptCount val="121"/>
                <c:pt idx="0">
                  <c:v>120</c:v>
                </c:pt>
                <c:pt idx="1">
                  <c:v>152.8369140625</c:v>
                </c:pt>
                <c:pt idx="2">
                  <c:v>176.60412708918253</c:v>
                </c:pt>
                <c:pt idx="3">
                  <c:v>192.00023019686341</c:v>
                </c:pt>
                <c:pt idx="4">
                  <c:v>200.02982396819462</c:v>
                </c:pt>
                <c:pt idx="5">
                  <c:v>201.88056476799673</c:v>
                </c:pt>
                <c:pt idx="6">
                  <c:v>198.81733650900958</c:v>
                </c:pt>
                <c:pt idx="7">
                  <c:v>192.09558195527816</c:v>
                </c:pt>
                <c:pt idx="8">
                  <c:v>182.89432368228452</c:v>
                </c:pt>
                <c:pt idx="9">
                  <c:v>172.26820434277806</c:v>
                </c:pt>
                <c:pt idx="10">
                  <c:v>161.1169778281284</c:v>
                </c:pt>
                <c:pt idx="11">
                  <c:v>150.17026978271056</c:v>
                </c:pt>
                <c:pt idx="12">
                  <c:v>139.98506843139444</c:v>
                </c:pt>
                <c:pt idx="13">
                  <c:v>130.95326794122235</c:v>
                </c:pt>
                <c:pt idx="14">
                  <c:v>123.31662580324517</c:v>
                </c:pt>
                <c:pt idx="15">
                  <c:v>117.18667145642195</c:v>
                </c:pt>
                <c:pt idx="16">
                  <c:v>112.56737572843134</c:v>
                </c:pt>
                <c:pt idx="17">
                  <c:v>109.37872328415773</c:v>
                </c:pt>
                <c:pt idx="18">
                  <c:v>107.47969152328854</c:v>
                </c:pt>
                <c:pt idx="19">
                  <c:v>106.68950304620799</c:v>
                </c:pt>
                <c:pt idx="20">
                  <c:v>106.80636436786682</c:v>
                </c:pt>
                <c:pt idx="21">
                  <c:v>107.62321599912951</c:v>
                </c:pt>
                <c:pt idx="22">
                  <c:v>108.94028847155241</c:v>
                </c:pt>
                <c:pt idx="23">
                  <c:v>110.57448003815956</c:v>
                </c:pt>
                <c:pt idx="24">
                  <c:v>112.36574315622546</c:v>
                </c:pt>
                <c:pt idx="25">
                  <c:v>114.18079003189561</c:v>
                </c:pt>
                <c:pt idx="26">
                  <c:v>115.91450636563378</c:v>
                </c:pt>
                <c:pt idx="27">
                  <c:v>117.48950244556019</c:v>
                </c:pt>
                <c:pt idx="28">
                  <c:v>118.85423828519629</c:v>
                </c:pt>
                <c:pt idx="29">
                  <c:v>119.98014135715822</c:v>
                </c:pt>
                <c:pt idx="30">
                  <c:v>120.85809831652776</c:v>
                </c:pt>
                <c:pt idx="31">
                  <c:v>121.49465218664083</c:v>
                </c:pt>
                <c:pt idx="32">
                  <c:v>121.90817936532719</c:v>
                </c:pt>
                <c:pt idx="33">
                  <c:v>122.12526123451552</c:v>
                </c:pt>
                <c:pt idx="34">
                  <c:v>122.177406942291</c:v>
                </c:pt>
                <c:pt idx="35">
                  <c:v>122.09822997544522</c:v>
                </c:pt>
                <c:pt idx="36">
                  <c:v>121.9211334774887</c:v>
                </c:pt>
                <c:pt idx="37">
                  <c:v>121.67751912331492</c:v>
                </c:pt>
                <c:pt idx="38">
                  <c:v>121.39550228250408</c:v>
                </c:pt>
                <c:pt idx="39">
                  <c:v>121.09909216964307</c:v>
                </c:pt>
                <c:pt idx="40">
                  <c:v>120.80777923460508</c:v>
                </c:pt>
                <c:pt idx="41">
                  <c:v>120.53646241478093</c:v>
                </c:pt>
                <c:pt idx="42">
                  <c:v>120.29564507732907</c:v>
                </c:pt>
                <c:pt idx="43">
                  <c:v>120.09182944024055</c:v>
                </c:pt>
                <c:pt idx="44">
                  <c:v>119.92804387186223</c:v>
                </c:pt>
                <c:pt idx="45">
                  <c:v>119.80444466845347</c:v>
                </c:pt>
                <c:pt idx="46">
                  <c:v>119.71894272958966</c:v>
                </c:pt>
                <c:pt idx="47">
                  <c:v>119.66781514813458</c:v>
                </c:pt>
                <c:pt idx="48">
                  <c:v>119.64627140532417</c:v>
                </c:pt>
                <c:pt idx="49">
                  <c:v>119.64895306302492</c:v>
                </c:pt>
                <c:pt idx="50">
                  <c:v>117.58702083937148</c:v>
                </c:pt>
                <c:pt idx="51">
                  <c:v>106.24775256666122</c:v>
                </c:pt>
                <c:pt idx="52">
                  <c:v>96.797830823525914</c:v>
                </c:pt>
                <c:pt idx="53">
                  <c:v>89.33923185493704</c:v>
                </c:pt>
                <c:pt idx="54">
                  <c:v>83.841824503075799</c:v>
                </c:pt>
                <c:pt idx="55">
                  <c:v>80.174248703174186</c:v>
                </c:pt>
                <c:pt idx="56">
                  <c:v>78.133533000887937</c:v>
                </c:pt>
                <c:pt idx="57">
                  <c:v>77.472100619619638</c:v>
                </c:pt>
                <c:pt idx="58">
                  <c:v>77.921255984311429</c:v>
                </c:pt>
                <c:pt idx="59">
                  <c:v>79.210638094811927</c:v>
                </c:pt>
                <c:pt idx="60">
                  <c:v>81.083462627710617</c:v>
                </c:pt>
                <c:pt idx="61">
                  <c:v>83.307645724394717</c:v>
                </c:pt>
                <c:pt idx="62">
                  <c:v>85.683108427975057</c:v>
                </c:pt>
                <c:pt idx="63">
                  <c:v>88.04570472314866</c:v>
                </c:pt>
                <c:pt idx="64">
                  <c:v>90.268303906191946</c:v>
                </c:pt>
                <c:pt idx="65">
                  <c:v>92.259597173263089</c:v>
                </c:pt>
                <c:pt idx="66">
                  <c:v>93.961197462143474</c:v>
                </c:pt>
                <c:pt idx="67">
                  <c:v>95.343569613106098</c:v>
                </c:pt>
                <c:pt idx="68">
                  <c:v>96.401273470177557</c:v>
                </c:pt>
                <c:pt idx="69">
                  <c:v>97.147933591126417</c:v>
                </c:pt>
                <c:pt idx="70">
                  <c:v>97.611272775602117</c:v>
                </c:pt>
                <c:pt idx="71">
                  <c:v>97.828468522547581</c:v>
                </c:pt>
                <c:pt idx="72">
                  <c:v>97.842016449457176</c:v>
                </c:pt>
                <c:pt idx="73">
                  <c:v>97.696216109706668</c:v>
                </c:pt>
                <c:pt idx="74">
                  <c:v>97.434334870024315</c:v>
                </c:pt>
                <c:pt idx="75">
                  <c:v>97.096455895256426</c:v>
                </c:pt>
                <c:pt idx="76">
                  <c:v>96.717977314313146</c:v>
                </c:pt>
                <c:pt idx="77">
                  <c:v>96.328701099822069</c:v>
                </c:pt>
                <c:pt idx="78">
                  <c:v>95.952431347316193</c:v>
                </c:pt>
                <c:pt idx="79">
                  <c:v>95.606991380214822</c:v>
                </c:pt>
                <c:pt idx="80">
                  <c:v>95.304566099456252</c:v>
                </c:pt>
                <c:pt idx="81">
                  <c:v>95.052278802750479</c:v>
                </c:pt>
                <c:pt idx="82">
                  <c:v>94.852918877773135</c:v>
                </c:pt>
                <c:pt idx="83">
                  <c:v>94.70574696393183</c:v>
                </c:pt>
                <c:pt idx="84">
                  <c:v>94.607316151996713</c:v>
                </c:pt>
                <c:pt idx="85">
                  <c:v>94.552260496440098</c:v>
                </c:pt>
                <c:pt idx="86">
                  <c:v>94.534014691121214</c:v>
                </c:pt>
                <c:pt idx="87">
                  <c:v>94.545440541835632</c:v>
                </c:pt>
                <c:pt idx="88">
                  <c:v>94.579346386380266</c:v>
                </c:pt>
                <c:pt idx="89">
                  <c:v>94.628894565543618</c:v>
                </c:pt>
                <c:pt idx="90">
                  <c:v>94.792065956976714</c:v>
                </c:pt>
                <c:pt idx="91">
                  <c:v>95.56551996753636</c:v>
                </c:pt>
                <c:pt idx="92" formatCode="0.000_);[Red]\(0.000\)">
                  <c:v>96.411853500435257</c:v>
                </c:pt>
                <c:pt idx="93" formatCode="0.000_);[Red]\(0.000\)">
                  <c:v>97.268385863375883</c:v>
                </c:pt>
                <c:pt idx="94" formatCode="0.000_);[Red]\(0.000\)">
                  <c:v>98.085739631483406</c:v>
                </c:pt>
                <c:pt idx="95" formatCode="0.000_);[Red]\(0.000\)">
                  <c:v>98.827614561543172</c:v>
                </c:pt>
                <c:pt idx="96" formatCode="0.000_);[Red]\(0.000\)">
                  <c:v>99.469892081930425</c:v>
                </c:pt>
                <c:pt idx="97" formatCode="0.000_);[Red]\(0.000\)">
                  <c:v>99.999267694143924</c:v>
                </c:pt>
                <c:pt idx="98" formatCode="0.000_);[Red]\(0.000\)">
                  <c:v>100.41159094472491</c:v>
                </c:pt>
                <c:pt idx="99" formatCode="0.000_);[Red]\(0.000\)">
                  <c:v>100.71006897541393</c:v>
                </c:pt>
                <c:pt idx="100" formatCode="0.000_);[Red]\(0.000\)">
                  <c:v>100.90346265715418</c:v>
                </c:pt>
                <c:pt idx="101" formatCode="0.000_);[Red]\(0.000\)">
                  <c:v>101.00437618678048</c:v>
                </c:pt>
                <c:pt idx="102" formatCode="0.000_);[Red]\(0.000\)">
                  <c:v>101.02771357004546</c:v>
                </c:pt>
                <c:pt idx="103" formatCode="0.000_);[Red]\(0.000\)">
                  <c:v>100.98934999291102</c:v>
                </c:pt>
                <c:pt idx="104" formatCode="0.000_);[Red]\(0.000\)">
                  <c:v>100.90504364354975</c:v>
                </c:pt>
                <c:pt idx="105" formatCode="0.000_);[Red]\(0.000\)">
                  <c:v>100.78959466510943</c:v>
                </c:pt>
                <c:pt idx="106" formatCode="0.000_);[Red]\(0.000\)">
                  <c:v>100.65624284600092</c:v>
                </c:pt>
                <c:pt idx="107" formatCode="0.000_);[Red]\(0.000\)">
                  <c:v>100.51628437698959</c:v>
                </c:pt>
                <c:pt idx="108" formatCode="0.000_);[Red]\(0.000\)">
                  <c:v>100.37888030352779</c:v>
                </c:pt>
                <c:pt idx="109" formatCode="0.000_);[Red]\(0.000\)">
                  <c:v>100.25102481010177</c:v>
                </c:pt>
                <c:pt idx="110" formatCode="0.000_);[Red]\(0.000\)">
                  <c:v>100.13763972814751</c:v>
                </c:pt>
                <c:pt idx="111" formatCode="0.000_);[Red]\(0.000\)">
                  <c:v>100.04176214884197</c:v>
                </c:pt>
                <c:pt idx="112" formatCode="0.000_);[Red]\(0.000\)">
                  <c:v>99.964794225502416</c:v>
                </c:pt>
                <c:pt idx="113" formatCode="0.000_);[Red]\(0.000\)">
                  <c:v>99.906787667158724</c:v>
                </c:pt>
                <c:pt idx="114" formatCode="0.000_);[Red]\(0.000\)">
                  <c:v>99.866739598734412</c:v>
                </c:pt>
                <c:pt idx="115" formatCode="0.000_);[Red]\(0.000\)">
                  <c:v>99.842880997108452</c:v>
                </c:pt>
                <c:pt idx="116" formatCode="0.000_);[Red]\(0.000\)">
                  <c:v>99.832943477086232</c:v>
                </c:pt>
                <c:pt idx="117" formatCode="0.000_);[Red]\(0.000\)">
                  <c:v>99.83439453901714</c:v>
                </c:pt>
                <c:pt idx="118" formatCode="0.000_);[Red]\(0.000\)">
                  <c:v>99.844635312042996</c:v>
                </c:pt>
                <c:pt idx="119" formatCode="0.000_);[Red]\(0.000\)">
                  <c:v>99.861158209862808</c:v>
                </c:pt>
                <c:pt idx="120" formatCode="0.000_);[Red]\(0.000\)">
                  <c:v>99.881664692644051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13-459F-9666-B365E72E68F2}"/>
            </c:ext>
          </c:extLst>
        </c:ser>
        <c:ser>
          <c:idx val="2"/>
          <c:order val="2"/>
          <c:tx>
            <c:v>Tset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'例題1.14加熱・冷却撹拌槽の温度制御'!$J$3:$J$6</c:f>
              <c:numCache>
                <c:formatCode>General</c:formatCode>
                <c:ptCount val="4"/>
                <c:pt idx="0">
                  <c:v>0</c:v>
                </c:pt>
                <c:pt idx="1">
                  <c:v>250</c:v>
                </c:pt>
                <c:pt idx="2">
                  <c:v>250</c:v>
                </c:pt>
                <c:pt idx="3">
                  <c:v>600</c:v>
                </c:pt>
              </c:numCache>
            </c:numRef>
          </c:xVal>
          <c:yVal>
            <c:numRef>
              <c:f>'例題1.14加熱・冷却撹拌槽の温度制御'!$K$3:$K$6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13-459F-9666-B365E72E68F2}"/>
            </c:ext>
          </c:extLst>
        </c:ser>
        <c:ser>
          <c:idx val="3"/>
          <c:order val="3"/>
          <c:tx>
            <c:v>T2</c:v>
          </c:tx>
          <c:spPr>
            <a:ln w="12700">
              <a:solidFill>
                <a:srgbClr val="000000"/>
              </a:solidFill>
              <a:prstDash val="lgDashDotDot"/>
            </a:ln>
          </c:spPr>
          <c:marker>
            <c:symbol val="none"/>
          </c:marker>
          <c:xVal>
            <c:numRef>
              <c:f>'例題1.14加熱・冷却撹拌槽の温度制御'!$L$3:$L$6</c:f>
              <c:numCache>
                <c:formatCode>General</c:formatCode>
                <c:ptCount val="4"/>
                <c:pt idx="0">
                  <c:v>0</c:v>
                </c:pt>
                <c:pt idx="1">
                  <c:v>450</c:v>
                </c:pt>
                <c:pt idx="2">
                  <c:v>450</c:v>
                </c:pt>
                <c:pt idx="3">
                  <c:v>600</c:v>
                </c:pt>
              </c:numCache>
            </c:numRef>
          </c:xVal>
          <c:yVal>
            <c:numRef>
              <c:f>'例題1.14加熱・冷却撹拌槽の温度制御'!$M$3:$M$6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13-459F-9666-B365E72E6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156304"/>
        <c:axId val="1"/>
      </c:scatterChart>
      <c:valAx>
        <c:axId val="1633156304"/>
        <c:scaling>
          <c:orientation val="minMax"/>
          <c:max val="60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ＭＳ Ｐゴシック"/>
                    <a:cs typeface="Arial" panose="020B0604020202020204" pitchFamily="34" charset="0"/>
                  </a:defRPr>
                </a:pPr>
                <a:r>
                  <a:rPr lang="en-US" altLang="ja-JP" sz="1100">
                    <a:latin typeface="Arial" panose="020B0604020202020204" pitchFamily="34" charset="0"/>
                    <a:cs typeface="Arial" panose="020B0604020202020204" pitchFamily="34" charset="0"/>
                  </a:rPr>
                  <a:t>t [s]</a:t>
                </a:r>
              </a:p>
            </c:rich>
          </c:tx>
          <c:layout>
            <c:manualLayout>
              <c:xMode val="edge"/>
              <c:yMode val="edge"/>
              <c:x val="0.53540658837262034"/>
              <c:y val="0.885089311560641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50"/>
        <c:minorUnit val="50"/>
      </c:valAx>
      <c:valAx>
        <c:axId val="1"/>
        <c:scaling>
          <c:orientation val="minMax"/>
          <c:max val="20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ja-JP" sz="1100"/>
                  <a:t>[℃]</a:t>
                </a:r>
              </a:p>
            </c:rich>
          </c:tx>
          <c:layout>
            <c:manualLayout>
              <c:xMode val="edge"/>
              <c:yMode val="edge"/>
              <c:x val="3.3575416858698109E-3"/>
              <c:y val="0.35931690250900067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633156304"/>
        <c:crosses val="autoZero"/>
        <c:crossBetween val="midCat"/>
      </c:valAx>
      <c:spPr>
        <a:noFill/>
        <a:ln w="1905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469127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627160</xdr:colOff>
      <xdr:row>13</xdr:row>
      <xdr:rowOff>5632</xdr:rowOff>
    </xdr:from>
    <xdr:to>
      <xdr:col>15</xdr:col>
      <xdr:colOff>286247</xdr:colOff>
      <xdr:row>30</xdr:row>
      <xdr:rowOff>87463</xdr:rowOff>
    </xdr:to>
    <xdr:graphicFrame macro="">
      <xdr:nvGraphicFramePr>
        <xdr:cNvPr id="1044" name="グラフ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413468</xdr:colOff>
          <xdr:row>1</xdr:row>
          <xdr:rowOff>47708</xdr:rowOff>
        </xdr:from>
        <xdr:to>
          <xdr:col>11</xdr:col>
          <xdr:colOff>564543</xdr:colOff>
          <xdr:row>4</xdr:row>
          <xdr:rowOff>79513</xdr:rowOff>
        </xdr:to>
        <xdr:sp macro="" textlink="">
          <xdr:nvSpPr>
            <xdr:cNvPr id="1049" name="Object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413468</xdr:colOff>
          <xdr:row>4</xdr:row>
          <xdr:rowOff>111318</xdr:rowOff>
        </xdr:from>
        <xdr:to>
          <xdr:col>11</xdr:col>
          <xdr:colOff>333955</xdr:colOff>
          <xdr:row>7</xdr:row>
          <xdr:rowOff>127221</xdr:rowOff>
        </xdr:to>
        <xdr:sp macro="" textlink="">
          <xdr:nvSpPr>
            <xdr:cNvPr id="1050" name="Object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580445</xdr:colOff>
          <xdr:row>8</xdr:row>
          <xdr:rowOff>63610</xdr:rowOff>
        </xdr:from>
        <xdr:to>
          <xdr:col>11</xdr:col>
          <xdr:colOff>103367</xdr:colOff>
          <xdr:row>10</xdr:row>
          <xdr:rowOff>31805</xdr:rowOff>
        </xdr:to>
        <xdr:sp macro="" textlink="">
          <xdr:nvSpPr>
            <xdr:cNvPr id="1051" name="Object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0.23019</cdr:x>
      <cdr:y>0.52234</cdr:y>
    </cdr:from>
    <cdr:to>
      <cdr:x>0.31396</cdr:x>
      <cdr:y>0.62766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67074" y="1417166"/>
          <a:ext cx="31551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0.18752</cdr:x>
      <cdr:y>0.52453</cdr:y>
    </cdr:from>
    <cdr:to>
      <cdr:x>0.23651</cdr:x>
      <cdr:y>0.56403</cdr:y>
    </cdr:to>
    <cdr:cxnSp macro="">
      <cdr:nvCxnSpPr>
        <cdr:cNvPr id="4" name="直線コネクタ 3"/>
        <cdr:cNvCxnSpPr/>
      </cdr:nvCxnSpPr>
      <cdr:spPr>
        <a:xfrm xmlns:a="http://schemas.openxmlformats.org/drawingml/2006/main">
          <a:off x="706340" y="1423118"/>
          <a:ext cx="184547" cy="1071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0.22703</cdr:x>
      <cdr:y>0.11422</cdr:y>
    </cdr:from>
    <cdr:to>
      <cdr:x>0.28393</cdr:x>
      <cdr:y>0.15591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855168" y="309884"/>
          <a:ext cx="214313" cy="11310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0.26654</cdr:x>
      <cdr:y>0.06594</cdr:y>
    </cdr:from>
    <cdr:to>
      <cdr:x>0.35031</cdr:x>
      <cdr:y>0.17127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1003995" y="178916"/>
          <a:ext cx="31551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1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0.23967</cdr:x>
      <cdr:y>0.39508</cdr:y>
    </cdr:from>
    <cdr:to>
      <cdr:x>0.29499</cdr:x>
      <cdr:y>0.45871</cdr:y>
    </cdr:to>
    <cdr:cxnSp macro="">
      <cdr:nvCxnSpPr>
        <cdr:cNvPr id="9" name="直線コネクタ 8"/>
        <cdr:cNvCxnSpPr/>
      </cdr:nvCxnSpPr>
      <cdr:spPr>
        <a:xfrm xmlns:a="http://schemas.openxmlformats.org/drawingml/2006/main">
          <a:off x="902793" y="1071885"/>
          <a:ext cx="208360" cy="17263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0.28393</cdr:x>
      <cdr:y>0.43018</cdr:y>
    </cdr:from>
    <cdr:to>
      <cdr:x>0.36769</cdr:x>
      <cdr:y>0.5355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1069479" y="1167134"/>
          <a:ext cx="31551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set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0.52257</cdr:x>
      <cdr:y>0.59036</cdr:y>
    </cdr:from>
    <cdr:to>
      <cdr:x>0.60634</cdr:x>
      <cdr:y>0.69568</cdr:y>
    </cdr:to>
    <cdr:sp macro="" textlink="">
      <cdr:nvSpPr>
        <cdr:cNvPr id="12" name="テキスト ボックス 11"/>
        <cdr:cNvSpPr txBox="1"/>
      </cdr:nvSpPr>
      <cdr:spPr>
        <a:xfrm xmlns:a="http://schemas.openxmlformats.org/drawingml/2006/main">
          <a:off x="1968401" y="1601713"/>
          <a:ext cx="31551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2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0.48622</cdr:x>
      <cdr:y>0.6496</cdr:y>
    </cdr:from>
    <cdr:to>
      <cdr:x>0.54312</cdr:x>
      <cdr:y>0.69129</cdr:y>
    </cdr:to>
    <cdr:cxnSp macro="">
      <cdr:nvCxnSpPr>
        <cdr:cNvPr id="13" name="直線コネクタ 12"/>
        <cdr:cNvCxnSpPr/>
      </cdr:nvCxnSpPr>
      <cdr:spPr>
        <a:xfrm xmlns:a="http://schemas.openxmlformats.org/drawingml/2006/main" flipV="1">
          <a:off x="1831481" y="1762446"/>
          <a:ext cx="214313" cy="11310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omments" Target="../comments1.xml"/><Relationship Id="rId5" Type="http://schemas.openxmlformats.org/officeDocument/2006/relationships/image" Target="../media/image1.wmf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73"/>
  <sheetViews>
    <sheetView tabSelected="1" zoomScale="99" zoomScaleNormal="99" workbookViewId="0">
      <selection activeCell="Q34" sqref="Q34"/>
    </sheetView>
  </sheetViews>
  <sheetFormatPr defaultColWidth="12" defaultRowHeight="11.9" x14ac:dyDescent="0.15"/>
  <cols>
    <col min="1" max="1" width="13.85546875" style="3" customWidth="1"/>
    <col min="2" max="2" width="12.140625" style="1" customWidth="1"/>
    <col min="3" max="3" width="11" style="1" customWidth="1"/>
    <col min="4" max="4" width="5.28515625" style="1" customWidth="1"/>
    <col min="5" max="5" width="3.140625" style="1" customWidth="1"/>
    <col min="6" max="6" width="8.140625" style="1" customWidth="1"/>
    <col min="7" max="7" width="6.85546875" style="1" customWidth="1"/>
    <col min="8" max="16384" width="12" style="1"/>
  </cols>
  <sheetData>
    <row r="1" spans="1:16" ht="12.55" thickBot="1" x14ac:dyDescent="0.2">
      <c r="A1" s="3" t="s">
        <v>1</v>
      </c>
      <c r="B1" s="10">
        <v>2</v>
      </c>
      <c r="F1" s="1" t="s">
        <v>2</v>
      </c>
    </row>
    <row r="2" spans="1:16" x14ac:dyDescent="0.15">
      <c r="A2" s="3" t="s">
        <v>5</v>
      </c>
      <c r="B2" s="1" t="s">
        <v>8</v>
      </c>
      <c r="C2" s="1" t="s">
        <v>13</v>
      </c>
      <c r="F2" s="12" t="s">
        <v>11</v>
      </c>
      <c r="G2" s="14">
        <v>50</v>
      </c>
      <c r="I2" s="25"/>
    </row>
    <row r="3" spans="1:16" x14ac:dyDescent="0.15">
      <c r="A3" s="3">
        <v>600</v>
      </c>
      <c r="B3" s="1">
        <v>79.985049623641615</v>
      </c>
      <c r="C3" s="1">
        <v>99.881471619662406</v>
      </c>
      <c r="F3" s="12" t="s">
        <v>12</v>
      </c>
      <c r="G3" s="1">
        <v>200</v>
      </c>
      <c r="J3" s="1">
        <v>0</v>
      </c>
      <c r="K3" s="1">
        <v>100</v>
      </c>
      <c r="L3" s="1">
        <v>0</v>
      </c>
      <c r="M3" s="1">
        <v>20</v>
      </c>
    </row>
    <row r="4" spans="1:16" ht="12.55" thickBot="1" x14ac:dyDescent="0.2">
      <c r="B4" s="16" t="s">
        <v>10</v>
      </c>
      <c r="C4" s="16" t="s">
        <v>16</v>
      </c>
      <c r="D4" s="16"/>
      <c r="E4" s="16"/>
      <c r="F4" s="12" t="s">
        <v>17</v>
      </c>
      <c r="G4" s="14">
        <f>IF(A3&lt;250,100,80)</f>
        <v>80</v>
      </c>
      <c r="J4" s="1">
        <v>250</v>
      </c>
      <c r="K4" s="1">
        <v>100</v>
      </c>
      <c r="L4" s="1">
        <v>450</v>
      </c>
      <c r="M4" s="1">
        <v>20</v>
      </c>
    </row>
    <row r="5" spans="1:16" ht="12.55" thickBot="1" x14ac:dyDescent="0.2">
      <c r="A5" s="3" t="s">
        <v>3</v>
      </c>
      <c r="B5" s="13">
        <f>(1/G2)*(C3-B3)+(1/G3)*(G5-B3)</f>
        <v>-1.9968081977922436E-3</v>
      </c>
      <c r="C5" s="15">
        <f>-G6*B5+(G6/G7)*(G4-B3)</f>
        <v>4.3648072920384473E-3</v>
      </c>
      <c r="D5" s="8"/>
      <c r="E5" s="9"/>
      <c r="F5" s="12" t="s">
        <v>14</v>
      </c>
      <c r="G5" s="1">
        <f>IF(A3&lt;450,20,0)</f>
        <v>0</v>
      </c>
      <c r="J5" s="1">
        <v>250</v>
      </c>
      <c r="K5" s="1">
        <v>80</v>
      </c>
      <c r="L5" s="1">
        <v>450</v>
      </c>
      <c r="M5" s="1">
        <v>0</v>
      </c>
    </row>
    <row r="6" spans="1:16" ht="12.55" thickBot="1" x14ac:dyDescent="0.2">
      <c r="F6" s="12" t="s">
        <v>18</v>
      </c>
      <c r="G6" s="14">
        <v>1.25</v>
      </c>
      <c r="J6" s="1">
        <v>600</v>
      </c>
      <c r="K6" s="1">
        <v>80</v>
      </c>
      <c r="L6" s="1">
        <v>600</v>
      </c>
      <c r="M6" s="1">
        <v>0</v>
      </c>
    </row>
    <row r="7" spans="1:16" x14ac:dyDescent="0.15">
      <c r="A7" s="3" t="s">
        <v>20</v>
      </c>
      <c r="B7" s="5">
        <v>0</v>
      </c>
      <c r="F7" s="12" t="s">
        <v>19</v>
      </c>
      <c r="G7" s="1">
        <v>10</v>
      </c>
    </row>
    <row r="8" spans="1:16" x14ac:dyDescent="0.15">
      <c r="A8" s="4" t="s">
        <v>0</v>
      </c>
      <c r="B8" s="6">
        <v>600</v>
      </c>
    </row>
    <row r="9" spans="1:16" ht="12.55" thickBot="1" x14ac:dyDescent="0.2">
      <c r="A9" s="3" t="s">
        <v>21</v>
      </c>
      <c r="B9" s="7">
        <v>5</v>
      </c>
      <c r="F9" s="12"/>
    </row>
    <row r="10" spans="1:16" x14ac:dyDescent="0.15">
      <c r="A10" s="3" t="s">
        <v>4</v>
      </c>
      <c r="F10" s="12"/>
      <c r="M10"/>
      <c r="P10"/>
    </row>
    <row r="11" spans="1:16" ht="12.55" thickBot="1" x14ac:dyDescent="0.2">
      <c r="A11" s="3" t="s">
        <v>6</v>
      </c>
      <c r="B11" s="20" t="s">
        <v>9</v>
      </c>
      <c r="C11" s="20" t="s">
        <v>15</v>
      </c>
      <c r="D11" s="20"/>
      <c r="E11" s="20"/>
      <c r="F11" s="12"/>
      <c r="O11"/>
    </row>
    <row r="12" spans="1:16" ht="12.55" thickBot="1" x14ac:dyDescent="0.2">
      <c r="A12" s="14">
        <v>0</v>
      </c>
      <c r="B12" s="22">
        <v>20</v>
      </c>
      <c r="C12" s="24">
        <v>120</v>
      </c>
      <c r="D12" s="24"/>
      <c r="E12" s="17"/>
      <c r="F12" s="12" t="s">
        <v>7</v>
      </c>
    </row>
    <row r="13" spans="1:16" x14ac:dyDescent="0.15">
      <c r="A13" s="14">
        <v>5</v>
      </c>
      <c r="B13" s="23">
        <v>31.048177083333336</v>
      </c>
      <c r="C13" s="23">
        <v>152.8369140625</v>
      </c>
      <c r="D13" s="23"/>
      <c r="E13" s="18"/>
      <c r="F13" s="21"/>
      <c r="I13" s="23"/>
      <c r="J13" s="23"/>
    </row>
    <row r="14" spans="1:16" x14ac:dyDescent="0.15">
      <c r="A14" s="14">
        <v>10</v>
      </c>
      <c r="B14" s="23">
        <v>43.445944256252716</v>
      </c>
      <c r="C14" s="23">
        <v>176.60412708918253</v>
      </c>
      <c r="D14" s="23"/>
      <c r="E14" s="18"/>
      <c r="F14" s="21"/>
      <c r="I14" s="23"/>
      <c r="J14" s="23"/>
    </row>
    <row r="15" spans="1:16" x14ac:dyDescent="0.15">
      <c r="A15" s="14">
        <v>15</v>
      </c>
      <c r="B15" s="23">
        <v>56.212730824050531</v>
      </c>
      <c r="C15" s="23">
        <v>192.00023019686341</v>
      </c>
      <c r="D15" s="23"/>
      <c r="E15" s="18"/>
      <c r="F15" s="21"/>
      <c r="I15" s="23"/>
      <c r="J15" s="23"/>
    </row>
    <row r="16" spans="1:16" x14ac:dyDescent="0.15">
      <c r="A16" s="14">
        <v>20</v>
      </c>
      <c r="B16" s="23">
        <v>68.564557279406273</v>
      </c>
      <c r="C16" s="23">
        <v>200.02982396819462</v>
      </c>
      <c r="D16" s="23"/>
      <c r="E16" s="18"/>
      <c r="F16" s="21"/>
      <c r="I16" s="23"/>
      <c r="J16" s="23"/>
    </row>
    <row r="17" spans="1:10" x14ac:dyDescent="0.15">
      <c r="A17" s="14">
        <v>25</v>
      </c>
      <c r="B17" s="23">
        <v>79.913681374997495</v>
      </c>
      <c r="C17" s="23">
        <v>201.88056476799673</v>
      </c>
      <c r="D17" s="23"/>
      <c r="E17" s="18"/>
      <c r="F17" s="21"/>
      <c r="I17" s="23"/>
      <c r="J17" s="23"/>
    </row>
    <row r="18" spans="1:10" x14ac:dyDescent="0.15">
      <c r="A18" s="14">
        <v>30</v>
      </c>
      <c r="B18" s="23">
        <v>89.857526622148683</v>
      </c>
      <c r="C18" s="23">
        <v>198.81733650900958</v>
      </c>
      <c r="D18" s="23"/>
      <c r="E18" s="18"/>
      <c r="F18" s="21"/>
      <c r="I18" s="23"/>
      <c r="J18" s="23"/>
    </row>
    <row r="19" spans="1:10" x14ac:dyDescent="0.15">
      <c r="A19" s="14">
        <v>35</v>
      </c>
      <c r="B19" s="23">
        <v>98.159872927968024</v>
      </c>
      <c r="C19" s="23">
        <v>192.09558195527816</v>
      </c>
      <c r="D19" s="23"/>
      <c r="E19" s="18"/>
      <c r="F19" s="2"/>
      <c r="I19" s="23"/>
      <c r="J19" s="23"/>
    </row>
    <row r="20" spans="1:10" x14ac:dyDescent="0.15">
      <c r="A20" s="14">
        <v>40</v>
      </c>
      <c r="B20" s="23">
        <v>104.72705569368398</v>
      </c>
      <c r="C20" s="23">
        <v>182.89432368228452</v>
      </c>
      <c r="D20" s="23"/>
      <c r="E20" s="18"/>
      <c r="F20" s="2"/>
      <c r="I20" s="23"/>
      <c r="J20" s="23"/>
    </row>
    <row r="21" spans="1:10" x14ac:dyDescent="0.15">
      <c r="A21" s="14">
        <v>45</v>
      </c>
      <c r="B21" s="23">
        <v>109.58158684358278</v>
      </c>
      <c r="C21" s="23">
        <v>172.26820434277806</v>
      </c>
      <c r="D21" s="23"/>
      <c r="E21" s="18"/>
      <c r="F21" s="2"/>
      <c r="I21" s="23"/>
      <c r="J21" s="23"/>
    </row>
    <row r="22" spans="1:10" x14ac:dyDescent="0.15">
      <c r="A22" s="14">
        <v>50</v>
      </c>
      <c r="B22" s="23">
        <v>112.83521924912228</v>
      </c>
      <c r="C22" s="23">
        <v>161.1169778281284</v>
      </c>
      <c r="D22" s="23"/>
      <c r="E22" s="18"/>
      <c r="F22" s="2"/>
      <c r="I22" s="23"/>
      <c r="J22" s="23"/>
    </row>
    <row r="23" spans="1:10" x14ac:dyDescent="0.15">
      <c r="A23" s="14">
        <v>55</v>
      </c>
      <c r="B23" s="23">
        <v>114.66305950606447</v>
      </c>
      <c r="C23" s="23">
        <v>150.17026978271056</v>
      </c>
      <c r="D23" s="23"/>
      <c r="E23" s="18"/>
      <c r="F23" s="2"/>
      <c r="I23" s="23"/>
      <c r="J23" s="23"/>
    </row>
    <row r="24" spans="1:10" x14ac:dyDescent="0.15">
      <c r="A24" s="14">
        <v>60</v>
      </c>
      <c r="B24" s="23">
        <v>115.27992134724327</v>
      </c>
      <c r="C24" s="23">
        <v>139.98506843139444</v>
      </c>
      <c r="D24" s="23"/>
      <c r="E24" s="18"/>
      <c r="F24" s="2"/>
      <c r="I24" s="23"/>
      <c r="J24" s="23"/>
    </row>
    <row r="25" spans="1:10" x14ac:dyDescent="0.15">
      <c r="A25" s="14">
        <v>65</v>
      </c>
      <c r="B25" s="23">
        <v>114.91972498541942</v>
      </c>
      <c r="C25" s="23">
        <v>130.95326794122235</v>
      </c>
      <c r="D25" s="23"/>
      <c r="E25" s="18"/>
      <c r="F25" s="2"/>
      <c r="I25" s="23"/>
      <c r="J25" s="23"/>
    </row>
    <row r="26" spans="1:10" x14ac:dyDescent="0.15">
      <c r="A26" s="14">
        <v>70</v>
      </c>
      <c r="B26" s="23">
        <v>113.81840198773864</v>
      </c>
      <c r="C26" s="23">
        <v>123.31662580324517</v>
      </c>
      <c r="D26" s="23"/>
      <c r="E26" s="18"/>
      <c r="F26" s="2"/>
      <c r="I26" s="23"/>
      <c r="J26" s="23"/>
    </row>
    <row r="27" spans="1:10" x14ac:dyDescent="0.15">
      <c r="A27" s="14">
        <v>75</v>
      </c>
      <c r="B27" s="23">
        <v>112.20047076956638</v>
      </c>
      <c r="C27" s="23">
        <v>117.18667145642195</v>
      </c>
      <c r="D27" s="23"/>
      <c r="E27" s="18"/>
      <c r="F27" s="2"/>
      <c r="G27"/>
      <c r="I27" s="23"/>
      <c r="J27" s="23"/>
    </row>
    <row r="28" spans="1:10" x14ac:dyDescent="0.15">
      <c r="A28" s="14">
        <v>80</v>
      </c>
      <c r="B28" s="23">
        <v>110.2692093430654</v>
      </c>
      <c r="C28" s="23">
        <v>112.56737572843134</v>
      </c>
      <c r="D28" s="23"/>
      <c r="E28" s="18"/>
      <c r="F28" s="2"/>
      <c r="I28" s="23"/>
      <c r="J28" s="23"/>
    </row>
    <row r="29" spans="1:10" x14ac:dyDescent="0.15">
      <c r="A29" s="14">
        <v>85</v>
      </c>
      <c r="B29" s="23">
        <v>108.20017028289369</v>
      </c>
      <c r="C29" s="23">
        <v>109.37872328415773</v>
      </c>
      <c r="D29" s="23"/>
      <c r="E29" s="18"/>
      <c r="F29" s="2"/>
      <c r="I29" s="23"/>
      <c r="J29" s="23"/>
    </row>
    <row r="30" spans="1:10" x14ac:dyDescent="0.15">
      <c r="A30" s="14">
        <v>90</v>
      </c>
      <c r="B30" s="23">
        <v>106.13765541340176</v>
      </c>
      <c r="C30" s="23">
        <v>107.47969152328854</v>
      </c>
      <c r="D30" s="23"/>
      <c r="E30" s="18"/>
      <c r="F30" s="2"/>
      <c r="I30" s="23"/>
      <c r="J30" s="23"/>
    </row>
    <row r="31" spans="1:10" x14ac:dyDescent="0.15">
      <c r="A31" s="14">
        <v>95</v>
      </c>
      <c r="B31" s="23">
        <v>104.19368949889295</v>
      </c>
      <c r="C31" s="23">
        <v>106.68950304620799</v>
      </c>
      <c r="D31" s="23"/>
      <c r="E31" s="18"/>
      <c r="F31" s="2"/>
      <c r="I31" s="23"/>
      <c r="J31" s="23"/>
    </row>
    <row r="32" spans="1:10" x14ac:dyDescent="0.15">
      <c r="A32" s="14">
        <v>100</v>
      </c>
      <c r="B32" s="23">
        <v>102.44899664392049</v>
      </c>
      <c r="C32" s="23">
        <v>106.80636436786682</v>
      </c>
      <c r="D32" s="23"/>
      <c r="E32" s="18"/>
      <c r="F32" s="2"/>
      <c r="I32" s="23"/>
      <c r="J32" s="23"/>
    </row>
    <row r="33" spans="1:10" x14ac:dyDescent="0.15">
      <c r="A33" s="14">
        <v>105</v>
      </c>
      <c r="B33" s="23">
        <v>100.95548270797417</v>
      </c>
      <c r="C33" s="23">
        <v>107.62321599912951</v>
      </c>
      <c r="D33" s="23"/>
      <c r="E33" s="18"/>
      <c r="F33" s="2"/>
      <c r="I33" s="23"/>
      <c r="J33" s="23"/>
    </row>
    <row r="34" spans="1:10" x14ac:dyDescent="0.15">
      <c r="A34" s="14">
        <v>110</v>
      </c>
      <c r="B34" s="23">
        <v>99.739754050717593</v>
      </c>
      <c r="C34" s="23">
        <v>108.94028847155241</v>
      </c>
      <c r="D34" s="23"/>
      <c r="E34" s="11"/>
      <c r="I34" s="23"/>
      <c r="J34" s="23"/>
    </row>
    <row r="35" spans="1:10" x14ac:dyDescent="0.15">
      <c r="A35" s="14">
        <v>115</v>
      </c>
      <c r="B35" s="23">
        <v>98.807249800336947</v>
      </c>
      <c r="C35" s="23">
        <v>110.57448003815956</v>
      </c>
      <c r="D35" s="23"/>
      <c r="E35" s="11"/>
      <c r="I35" s="23"/>
      <c r="J35" s="23"/>
    </row>
    <row r="36" spans="1:10" x14ac:dyDescent="0.15">
      <c r="A36" s="14">
        <v>120</v>
      </c>
      <c r="B36" s="23">
        <v>98.146624605829132</v>
      </c>
      <c r="C36" s="23">
        <v>112.36574315622546</v>
      </c>
      <c r="D36" s="23"/>
      <c r="E36" s="11"/>
      <c r="I36" s="23"/>
      <c r="J36" s="23"/>
    </row>
    <row r="37" spans="1:10" x14ac:dyDescent="0.15">
      <c r="A37" s="14">
        <v>125</v>
      </c>
      <c r="B37" s="23">
        <v>97.734085354527579</v>
      </c>
      <c r="C37" s="23">
        <v>114.18079003189561</v>
      </c>
      <c r="D37" s="23"/>
      <c r="E37" s="11"/>
      <c r="I37" s="23"/>
      <c r="J37" s="23"/>
    </row>
    <row r="38" spans="1:10" x14ac:dyDescent="0.15">
      <c r="A38" s="14">
        <v>130</v>
      </c>
      <c r="B38" s="23">
        <v>97.53745345573904</v>
      </c>
      <c r="C38" s="23">
        <v>115.91450636563378</v>
      </c>
      <c r="D38" s="23"/>
      <c r="E38" s="11"/>
      <c r="I38" s="23"/>
      <c r="J38" s="23"/>
    </row>
    <row r="39" spans="1:10" x14ac:dyDescent="0.15">
      <c r="A39" s="14">
        <v>135</v>
      </c>
      <c r="B39" s="23">
        <v>97.519789908785327</v>
      </c>
      <c r="C39" s="23">
        <v>117.48950244556019</v>
      </c>
      <c r="D39" s="23"/>
      <c r="E39" s="11"/>
      <c r="I39" s="23"/>
      <c r="J39" s="23"/>
    </row>
    <row r="40" spans="1:10" x14ac:dyDescent="0.15">
      <c r="A40" s="14">
        <v>140</v>
      </c>
      <c r="B40" s="23">
        <v>97.642480432565776</v>
      </c>
      <c r="C40" s="23">
        <v>118.85423828519629</v>
      </c>
      <c r="D40" s="23"/>
      <c r="E40" s="11"/>
      <c r="I40" s="23"/>
      <c r="J40" s="23"/>
    </row>
    <row r="41" spans="1:10" x14ac:dyDescent="0.15">
      <c r="A41" s="14">
        <v>145</v>
      </c>
      <c r="B41" s="23">
        <v>97.86773035938927</v>
      </c>
      <c r="C41" s="23">
        <v>119.98014135715822</v>
      </c>
      <c r="D41" s="23"/>
      <c r="E41" s="11"/>
      <c r="I41" s="23"/>
      <c r="J41" s="23"/>
    </row>
    <row r="42" spans="1:10" x14ac:dyDescent="0.15">
      <c r="A42" s="14">
        <v>150</v>
      </c>
      <c r="B42" s="23">
        <v>98.160462592496259</v>
      </c>
      <c r="C42" s="23">
        <v>120.85809831652776</v>
      </c>
      <c r="D42" s="23"/>
      <c r="E42" s="11"/>
      <c r="I42" s="23"/>
      <c r="J42" s="23"/>
    </row>
    <row r="43" spans="1:10" x14ac:dyDescent="0.15">
      <c r="A43" s="14">
        <v>155</v>
      </c>
      <c r="B43" s="23">
        <v>98.489646248837218</v>
      </c>
      <c r="C43" s="23">
        <v>121.49465218664083</v>
      </c>
      <c r="D43" s="23"/>
      <c r="E43" s="11"/>
      <c r="I43" s="23"/>
      <c r="J43" s="23"/>
    </row>
    <row r="44" spans="1:10" x14ac:dyDescent="0.15">
      <c r="A44" s="14">
        <v>160</v>
      </c>
      <c r="B44" s="23">
        <v>98.829108819519902</v>
      </c>
      <c r="C44" s="23">
        <v>121.90817936532719</v>
      </c>
      <c r="D44" s="23"/>
      <c r="E44" s="11"/>
      <c r="I44" s="23"/>
      <c r="J44" s="23"/>
    </row>
    <row r="45" spans="1:10" x14ac:dyDescent="0.15">
      <c r="A45" s="14">
        <v>165</v>
      </c>
      <c r="B45" s="23">
        <v>99.157901408254176</v>
      </c>
      <c r="C45" s="23">
        <v>122.12526123451552</v>
      </c>
      <c r="D45" s="23"/>
      <c r="E45" s="11"/>
      <c r="I45" s="23"/>
      <c r="J45" s="23"/>
    </row>
    <row r="46" spans="1:10" x14ac:dyDescent="0.15">
      <c r="A46" s="14">
        <v>170</v>
      </c>
      <c r="B46" s="23">
        <v>99.46029580917633</v>
      </c>
      <c r="C46" s="23">
        <v>122.177406942291</v>
      </c>
      <c r="D46" s="23"/>
      <c r="E46" s="11"/>
      <c r="I46" s="23"/>
      <c r="J46" s="23"/>
    </row>
    <row r="47" spans="1:10" x14ac:dyDescent="0.15">
      <c r="A47" s="14">
        <v>175</v>
      </c>
      <c r="B47" s="23">
        <v>99.725495018301729</v>
      </c>
      <c r="C47" s="23">
        <v>122.09822997544522</v>
      </c>
      <c r="D47" s="23"/>
      <c r="E47" s="11"/>
      <c r="I47" s="23"/>
      <c r="J47" s="23"/>
    </row>
    <row r="48" spans="1:10" x14ac:dyDescent="0.15">
      <c r="A48" s="14">
        <v>180</v>
      </c>
      <c r="B48" s="23">
        <v>99.947136490267965</v>
      </c>
      <c r="C48" s="23">
        <v>121.9211334774887</v>
      </c>
      <c r="D48" s="23"/>
      <c r="E48" s="11"/>
      <c r="I48" s="23"/>
      <c r="J48" s="23"/>
    </row>
    <row r="49" spans="1:10" x14ac:dyDescent="0.15">
      <c r="A49" s="14">
        <v>185</v>
      </c>
      <c r="B49" s="23">
        <v>100.12266131105191</v>
      </c>
      <c r="C49" s="23">
        <v>121.67751912331492</v>
      </c>
      <c r="D49" s="23"/>
      <c r="E49" s="11"/>
      <c r="I49" s="23"/>
      <c r="J49" s="23"/>
    </row>
    <row r="50" spans="1:10" x14ac:dyDescent="0.15">
      <c r="A50" s="14">
        <v>190</v>
      </c>
      <c r="B50" s="23">
        <v>100.25261364925437</v>
      </c>
      <c r="C50" s="23">
        <v>121.39550228250408</v>
      </c>
      <c r="D50" s="23"/>
      <c r="E50" s="11"/>
      <c r="I50" s="23"/>
      <c r="J50" s="23"/>
    </row>
    <row r="51" spans="1:10" x14ac:dyDescent="0.15">
      <c r="A51" s="14">
        <v>195</v>
      </c>
      <c r="B51" s="23">
        <v>100.33992444785379</v>
      </c>
      <c r="C51" s="23">
        <v>121.09909216964307</v>
      </c>
      <c r="D51" s="23"/>
      <c r="E51" s="11"/>
      <c r="I51" s="23"/>
      <c r="J51" s="23"/>
    </row>
    <row r="52" spans="1:10" x14ac:dyDescent="0.15">
      <c r="A52" s="14">
        <v>200</v>
      </c>
      <c r="B52" s="23">
        <v>100.38922224949181</v>
      </c>
      <c r="C52" s="23">
        <v>120.80777923460508</v>
      </c>
      <c r="D52" s="23"/>
      <c r="E52" s="11"/>
      <c r="I52" s="23"/>
      <c r="J52" s="23"/>
    </row>
    <row r="53" spans="1:10" x14ac:dyDescent="0.15">
      <c r="A53" s="14">
        <v>205</v>
      </c>
      <c r="B53" s="23">
        <v>100.40620306809919</v>
      </c>
      <c r="C53" s="23">
        <v>120.53646241478093</v>
      </c>
      <c r="D53" s="23"/>
      <c r="E53" s="11"/>
      <c r="I53" s="23"/>
      <c r="J53" s="23"/>
    </row>
    <row r="54" spans="1:10" x14ac:dyDescent="0.15">
      <c r="A54" s="14">
        <v>210</v>
      </c>
      <c r="B54" s="23">
        <v>100.39708091247907</v>
      </c>
      <c r="C54" s="23">
        <v>120.29564507732907</v>
      </c>
      <c r="D54" s="23"/>
      <c r="E54" s="11"/>
      <c r="I54" s="23"/>
      <c r="J54" s="23"/>
    </row>
    <row r="55" spans="1:10" x14ac:dyDescent="0.15">
      <c r="A55" s="14">
        <v>215</v>
      </c>
      <c r="B55" s="23">
        <v>100.36813135150325</v>
      </c>
      <c r="C55" s="23">
        <v>120.09182944024055</v>
      </c>
      <c r="D55" s="23"/>
      <c r="E55" s="11"/>
      <c r="I55" s="23"/>
      <c r="J55" s="23"/>
    </row>
    <row r="56" spans="1:10" x14ac:dyDescent="0.15">
      <c r="A56" s="14">
        <v>220</v>
      </c>
      <c r="B56" s="23">
        <v>100.3253326514868</v>
      </c>
      <c r="C56" s="23">
        <v>119.92804387186223</v>
      </c>
      <c r="D56" s="23"/>
      <c r="E56" s="11"/>
      <c r="I56" s="23"/>
      <c r="J56" s="23"/>
    </row>
    <row r="57" spans="1:10" x14ac:dyDescent="0.15">
      <c r="A57" s="14">
        <v>225</v>
      </c>
      <c r="B57" s="23">
        <v>100.27410264632329</v>
      </c>
      <c r="C57" s="23">
        <v>119.80444466845347</v>
      </c>
      <c r="D57" s="23"/>
      <c r="E57" s="11"/>
      <c r="I57" s="23"/>
      <c r="J57" s="23"/>
    </row>
    <row r="58" spans="1:10" x14ac:dyDescent="0.15">
      <c r="A58" s="14">
        <v>230</v>
      </c>
      <c r="B58" s="23">
        <v>100.2191246411512</v>
      </c>
      <c r="C58" s="23">
        <v>119.71894272958966</v>
      </c>
      <c r="D58" s="23"/>
      <c r="E58" s="11"/>
      <c r="I58" s="23"/>
      <c r="J58" s="23"/>
    </row>
    <row r="59" spans="1:10" x14ac:dyDescent="0.15">
      <c r="A59" s="14">
        <v>235</v>
      </c>
      <c r="B59" s="23">
        <v>100.16425223400641</v>
      </c>
      <c r="C59" s="23">
        <v>119.66781514813458</v>
      </c>
      <c r="D59" s="23"/>
      <c r="E59" s="11"/>
      <c r="I59" s="23"/>
      <c r="J59" s="23"/>
    </row>
    <row r="60" spans="1:10" x14ac:dyDescent="0.15">
      <c r="A60" s="14">
        <v>240</v>
      </c>
      <c r="B60" s="23">
        <v>100.11248083575478</v>
      </c>
      <c r="C60" s="23">
        <v>119.64627140532417</v>
      </c>
      <c r="D60" s="23"/>
      <c r="E60" s="11"/>
      <c r="I60" s="23"/>
      <c r="J60" s="23"/>
    </row>
    <row r="61" spans="1:10" x14ac:dyDescent="0.15">
      <c r="A61" s="14">
        <v>245</v>
      </c>
      <c r="B61" s="23">
        <v>100.06597270211651</v>
      </c>
      <c r="C61" s="23">
        <v>119.64895306302492</v>
      </c>
      <c r="D61" s="23"/>
      <c r="E61" s="11"/>
      <c r="I61" s="23"/>
      <c r="J61" s="23"/>
    </row>
    <row r="62" spans="1:10" x14ac:dyDescent="0.15">
      <c r="A62" s="14">
        <v>250</v>
      </c>
      <c r="B62" s="23">
        <v>100.02612226431728</v>
      </c>
      <c r="C62" s="23">
        <v>117.58702083937148</v>
      </c>
      <c r="D62" s="23"/>
      <c r="E62" s="11"/>
      <c r="I62" s="23"/>
      <c r="J62" s="23"/>
    </row>
    <row r="63" spans="1:10" x14ac:dyDescent="0.15">
      <c r="A63" s="14">
        <v>255</v>
      </c>
      <c r="B63" s="23">
        <v>99.23830528357324</v>
      </c>
      <c r="C63" s="23">
        <v>106.24775256666122</v>
      </c>
      <c r="D63" s="23"/>
      <c r="I63" s="23"/>
      <c r="J63" s="23"/>
    </row>
    <row r="64" spans="1:10" x14ac:dyDescent="0.15">
      <c r="A64" s="14">
        <v>260</v>
      </c>
      <c r="B64" s="23">
        <v>97.566363364262017</v>
      </c>
      <c r="C64" s="23">
        <v>96.797830823525914</v>
      </c>
      <c r="D64" s="23"/>
      <c r="I64" s="23"/>
      <c r="J64" s="23"/>
    </row>
    <row r="65" spans="1:10" x14ac:dyDescent="0.15">
      <c r="A65" s="14">
        <v>265</v>
      </c>
      <c r="B65" s="23">
        <v>95.29783694311628</v>
      </c>
      <c r="C65" s="23">
        <v>89.33923185493704</v>
      </c>
      <c r="D65" s="23"/>
      <c r="I65" s="23"/>
      <c r="J65" s="23"/>
    </row>
    <row r="66" spans="1:10" x14ac:dyDescent="0.15">
      <c r="A66" s="14">
        <v>270</v>
      </c>
      <c r="B66" s="23">
        <v>92.689486046586651</v>
      </c>
      <c r="C66" s="23">
        <v>83.841824503075799</v>
      </c>
      <c r="D66" s="23"/>
      <c r="I66" s="23"/>
      <c r="J66" s="23"/>
    </row>
    <row r="67" spans="1:10" x14ac:dyDescent="0.15">
      <c r="A67" s="14">
        <v>275</v>
      </c>
      <c r="B67" s="23">
        <v>89.959973135148829</v>
      </c>
      <c r="C67" s="23">
        <v>80.174248703174186</v>
      </c>
      <c r="D67" s="23"/>
      <c r="I67" s="23"/>
      <c r="J67" s="23"/>
    </row>
    <row r="68" spans="1:10" x14ac:dyDescent="0.15">
      <c r="A68" s="14">
        <v>280</v>
      </c>
      <c r="B68" s="23">
        <v>87.2862603417136</v>
      </c>
      <c r="C68" s="23">
        <v>78.133533000887937</v>
      </c>
      <c r="D68" s="23"/>
      <c r="I68" s="23"/>
      <c r="J68" s="23"/>
    </row>
    <row r="69" spans="1:10" x14ac:dyDescent="0.15">
      <c r="A69" s="14">
        <v>285</v>
      </c>
      <c r="B69" s="23">
        <v>84.803097720381203</v>
      </c>
      <c r="C69" s="23">
        <v>77.472100619619638</v>
      </c>
      <c r="D69" s="23"/>
      <c r="I69" s="23"/>
      <c r="J69" s="23"/>
    </row>
    <row r="70" spans="1:10" x14ac:dyDescent="0.15">
      <c r="A70" s="14">
        <v>290</v>
      </c>
      <c r="B70" s="23">
        <v>82.604946958273771</v>
      </c>
      <c r="C70" s="23">
        <v>77.921255984311429</v>
      </c>
      <c r="D70" s="23"/>
      <c r="I70" s="23"/>
      <c r="J70" s="23"/>
    </row>
    <row r="71" spans="1:10" x14ac:dyDescent="0.15">
      <c r="A71" s="14">
        <v>295</v>
      </c>
      <c r="B71" s="23">
        <v>80.749696018407931</v>
      </c>
      <c r="C71" s="23">
        <v>79.210638094811927</v>
      </c>
      <c r="D71" s="23"/>
      <c r="I71" s="23"/>
      <c r="J71" s="23"/>
    </row>
    <row r="72" spans="1:10" x14ac:dyDescent="0.15">
      <c r="A72" s="14">
        <v>300</v>
      </c>
      <c r="B72" s="23">
        <v>79.26356421882943</v>
      </c>
      <c r="C72" s="23">
        <v>81.083462627710617</v>
      </c>
      <c r="D72" s="23"/>
      <c r="I72" s="23"/>
      <c r="J72" s="23"/>
    </row>
    <row r="73" spans="1:10" x14ac:dyDescent="0.15">
      <c r="A73" s="14">
        <v>305</v>
      </c>
      <c r="B73" s="23">
        <v>78.146664585696541</v>
      </c>
      <c r="C73" s="23">
        <v>83.307645724394717</v>
      </c>
      <c r="D73" s="23"/>
      <c r="I73" s="23"/>
      <c r="J73" s="23"/>
    </row>
    <row r="74" spans="1:10" x14ac:dyDescent="0.15">
      <c r="A74" s="14">
        <v>310</v>
      </c>
      <c r="B74" s="23">
        <v>77.378772088750068</v>
      </c>
      <c r="C74" s="23">
        <v>85.683108427975057</v>
      </c>
      <c r="D74" s="23"/>
      <c r="I74" s="23"/>
      <c r="J74" s="23"/>
    </row>
    <row r="75" spans="1:10" x14ac:dyDescent="0.15">
      <c r="A75" s="14">
        <v>315</v>
      </c>
      <c r="B75" s="23">
        <v>76.924934884476983</v>
      </c>
      <c r="C75" s="23">
        <v>88.04570472314866</v>
      </c>
      <c r="D75" s="23"/>
      <c r="I75" s="23"/>
      <c r="J75" s="23"/>
    </row>
    <row r="76" spans="1:10" x14ac:dyDescent="0.15">
      <c r="A76" s="14">
        <v>320</v>
      </c>
      <c r="B76" s="23">
        <v>76.740654593392222</v>
      </c>
      <c r="C76" s="23">
        <v>90.268303906191946</v>
      </c>
      <c r="D76" s="23"/>
      <c r="I76" s="23"/>
      <c r="J76" s="23"/>
    </row>
    <row r="77" spans="1:10" x14ac:dyDescent="0.15">
      <c r="A77" s="14">
        <v>325</v>
      </c>
      <c r="B77" s="23">
        <v>76.776445947402308</v>
      </c>
      <c r="C77" s="23">
        <v>92.259597173263089</v>
      </c>
      <c r="D77" s="23"/>
      <c r="I77" s="23"/>
      <c r="J77" s="23"/>
    </row>
    <row r="78" spans="1:10" x14ac:dyDescent="0.15">
      <c r="A78" s="14">
        <v>330</v>
      </c>
      <c r="B78" s="23">
        <v>76.981662238555415</v>
      </c>
      <c r="C78" s="23">
        <v>93.961197462143474</v>
      </c>
      <c r="D78" s="23"/>
      <c r="I78" s="23"/>
      <c r="J78" s="23"/>
    </row>
    <row r="79" spans="1:10" x14ac:dyDescent="0.15">
      <c r="A79" s="14">
        <v>335</v>
      </c>
      <c r="B79" s="23">
        <v>77.3075385121913</v>
      </c>
      <c r="C79" s="23">
        <v>95.343569613106098</v>
      </c>
      <c r="D79" s="23"/>
      <c r="I79" s="23"/>
      <c r="J79" s="23"/>
    </row>
    <row r="80" spans="1:10" x14ac:dyDescent="0.15">
      <c r="A80" s="14">
        <v>340</v>
      </c>
      <c r="B80" s="23">
        <v>77.709458112493508</v>
      </c>
      <c r="C80" s="23">
        <v>96.401273470177557</v>
      </c>
      <c r="D80" s="23"/>
      <c r="I80" s="23"/>
      <c r="J80" s="23"/>
    </row>
    <row r="81" spans="1:10" x14ac:dyDescent="0.15">
      <c r="A81" s="14">
        <v>345</v>
      </c>
      <c r="B81" s="23">
        <v>78.148489674750152</v>
      </c>
      <c r="C81" s="23">
        <v>97.147933591126417</v>
      </c>
      <c r="D81" s="23"/>
      <c r="I81" s="23"/>
      <c r="J81" s="23"/>
    </row>
    <row r="82" spans="1:10" x14ac:dyDescent="0.15">
      <c r="A82" s="14">
        <v>350</v>
      </c>
      <c r="B82" s="23">
        <v>78.592271377712478</v>
      </c>
      <c r="C82" s="23">
        <v>97.611272775602117</v>
      </c>
      <c r="D82" s="23"/>
      <c r="I82" s="23"/>
      <c r="J82" s="23"/>
    </row>
    <row r="83" spans="1:10" x14ac:dyDescent="0.15">
      <c r="A83" s="14">
        <v>355</v>
      </c>
      <c r="B83" s="23">
        <v>79.015338189119532</v>
      </c>
      <c r="C83" s="23">
        <v>97.828468522547581</v>
      </c>
      <c r="D83" s="23"/>
      <c r="I83" s="23"/>
      <c r="J83" s="23"/>
    </row>
    <row r="84" spans="1:10" x14ac:dyDescent="0.15">
      <c r="A84" s="14">
        <v>360</v>
      </c>
      <c r="B84" s="23">
        <v>79.398997305601085</v>
      </c>
      <c r="C84" s="23">
        <v>97.842016449457176</v>
      </c>
      <c r="D84" s="23"/>
      <c r="I84" s="23"/>
      <c r="J84" s="23"/>
    </row>
    <row r="85" spans="1:10" x14ac:dyDescent="0.15">
      <c r="A85" s="14">
        <v>365</v>
      </c>
      <c r="B85" s="23">
        <v>79.730858574482184</v>
      </c>
      <c r="C85" s="23">
        <v>97.696216109706668</v>
      </c>
      <c r="D85" s="23"/>
      <c r="I85" s="23"/>
      <c r="J85" s="23"/>
    </row>
    <row r="86" spans="1:10" x14ac:dyDescent="0.15">
      <c r="A86" s="14">
        <v>370</v>
      </c>
      <c r="B86" s="23">
        <v>80.004122045604262</v>
      </c>
      <c r="C86" s="23">
        <v>97.434334870024315</v>
      </c>
      <c r="D86" s="23"/>
      <c r="I86" s="23"/>
      <c r="J86" s="23"/>
    </row>
    <row r="87" spans="1:10" x14ac:dyDescent="0.15">
      <c r="A87" s="14">
        <v>375</v>
      </c>
      <c r="B87" s="23">
        <v>80.216715568452216</v>
      </c>
      <c r="C87" s="23">
        <v>97.096455895256426</v>
      </c>
      <c r="D87" s="23"/>
      <c r="I87" s="23"/>
      <c r="J87" s="23"/>
    </row>
    <row r="88" spans="1:10" x14ac:dyDescent="0.15">
      <c r="A88" s="14">
        <v>380</v>
      </c>
      <c r="B88" s="23">
        <v>80.370363047588981</v>
      </c>
      <c r="C88" s="23">
        <v>96.717977314313146</v>
      </c>
      <c r="D88" s="23"/>
      <c r="I88" s="23"/>
      <c r="J88" s="23"/>
    </row>
    <row r="89" spans="1:10" x14ac:dyDescent="0.15">
      <c r="A89" s="14">
        <v>385</v>
      </c>
      <c r="B89" s="23">
        <v>80.469649953386707</v>
      </c>
      <c r="C89" s="23">
        <v>96.328701099822069</v>
      </c>
      <c r="D89" s="23"/>
      <c r="I89" s="23"/>
      <c r="J89" s="23"/>
    </row>
    <row r="90" spans="1:10" x14ac:dyDescent="0.15">
      <c r="A90" s="14">
        <v>390</v>
      </c>
      <c r="B90" s="23">
        <v>80.521138105446539</v>
      </c>
      <c r="C90" s="23">
        <v>95.952431347316193</v>
      </c>
      <c r="D90" s="23"/>
      <c r="I90" s="23"/>
      <c r="J90" s="23"/>
    </row>
    <row r="91" spans="1:10" x14ac:dyDescent="0.15">
      <c r="A91" s="14">
        <v>395</v>
      </c>
      <c r="B91" s="23">
        <v>80.532567529662799</v>
      </c>
      <c r="C91" s="23">
        <v>95.606991380214822</v>
      </c>
      <c r="D91" s="23"/>
      <c r="I91" s="23"/>
      <c r="J91" s="23"/>
    </row>
    <row r="92" spans="1:10" x14ac:dyDescent="0.15">
      <c r="A92" s="14">
        <v>400</v>
      </c>
      <c r="B92" s="23">
        <v>80.512170038392725</v>
      </c>
      <c r="C92" s="23">
        <v>95.304566099456252</v>
      </c>
      <c r="D92" s="23"/>
      <c r="I92" s="23"/>
      <c r="J92" s="23"/>
    </row>
    <row r="93" spans="1:10" x14ac:dyDescent="0.15">
      <c r="A93" s="14">
        <v>405</v>
      </c>
      <c r="B93" s="23">
        <v>80.468107584605491</v>
      </c>
      <c r="C93" s="23">
        <v>95.052278802750479</v>
      </c>
      <c r="D93" s="23"/>
      <c r="I93" s="23"/>
      <c r="J93" s="23"/>
    </row>
    <row r="94" spans="1:10" x14ac:dyDescent="0.15">
      <c r="A94" s="14">
        <v>410</v>
      </c>
      <c r="B94" s="23">
        <v>80.408038689804386</v>
      </c>
      <c r="C94" s="23">
        <v>94.852918877773135</v>
      </c>
      <c r="D94" s="23"/>
      <c r="I94" s="23"/>
      <c r="J94" s="23"/>
    </row>
    <row r="95" spans="1:10" x14ac:dyDescent="0.15">
      <c r="A95" s="14">
        <v>415</v>
      </c>
      <c r="B95" s="23">
        <v>80.338808469743014</v>
      </c>
      <c r="C95" s="23">
        <v>94.70574696393183</v>
      </c>
      <c r="D95" s="23"/>
      <c r="I95" s="23"/>
      <c r="J95" s="23"/>
    </row>
    <row r="96" spans="1:10" x14ac:dyDescent="0.15">
      <c r="A96" s="14">
        <v>420</v>
      </c>
      <c r="B96" s="23">
        <v>80.266251972350176</v>
      </c>
      <c r="C96" s="23">
        <v>94.607316151996713</v>
      </c>
      <c r="D96" s="23"/>
      <c r="I96" s="23"/>
      <c r="J96" s="23"/>
    </row>
    <row r="97" spans="1:10" x14ac:dyDescent="0.15">
      <c r="A97" s="14">
        <v>425</v>
      </c>
      <c r="B97" s="23">
        <v>80.195096583553806</v>
      </c>
      <c r="C97" s="23">
        <v>94.552260496440098</v>
      </c>
      <c r="D97" s="23"/>
      <c r="I97" s="23"/>
      <c r="J97" s="23"/>
    </row>
    <row r="98" spans="1:10" x14ac:dyDescent="0.15">
      <c r="A98" s="14">
        <v>430</v>
      </c>
      <c r="B98" s="23">
        <v>80.128946957241851</v>
      </c>
      <c r="C98" s="23">
        <v>94.534014691121214</v>
      </c>
      <c r="D98" s="23"/>
      <c r="I98" s="23"/>
      <c r="J98" s="23"/>
    </row>
    <row r="99" spans="1:10" x14ac:dyDescent="0.15">
      <c r="A99" s="14">
        <v>435</v>
      </c>
      <c r="B99" s="23">
        <v>80.070335044905178</v>
      </c>
      <c r="C99" s="23">
        <v>94.545440541835632</v>
      </c>
      <c r="D99" s="23"/>
      <c r="I99" s="23"/>
      <c r="J99" s="23"/>
    </row>
    <row r="100" spans="1:10" x14ac:dyDescent="0.15">
      <c r="A100" s="14">
        <v>440</v>
      </c>
      <c r="B100" s="23">
        <v>80.020818073210108</v>
      </c>
      <c r="C100" s="23">
        <v>94.579346386380266</v>
      </c>
      <c r="D100" s="23"/>
      <c r="I100" s="23"/>
      <c r="J100" s="23"/>
    </row>
    <row r="101" spans="1:10" x14ac:dyDescent="0.15">
      <c r="A101" s="14">
        <v>445</v>
      </c>
      <c r="B101" s="23">
        <v>79.981108473723424</v>
      </c>
      <c r="C101" s="23">
        <v>94.628894565543618</v>
      </c>
      <c r="D101" s="23"/>
      <c r="I101" s="23"/>
      <c r="J101" s="23"/>
    </row>
    <row r="102" spans="1:10" x14ac:dyDescent="0.15">
      <c r="A102" s="14">
        <v>450</v>
      </c>
      <c r="B102" s="23">
        <v>79.867888215961074</v>
      </c>
      <c r="C102" s="23">
        <v>94.792065956976714</v>
      </c>
      <c r="D102" s="23"/>
      <c r="I102" s="23"/>
      <c r="J102" s="23"/>
    </row>
    <row r="103" spans="1:10" x14ac:dyDescent="0.15">
      <c r="A103" s="14">
        <v>455</v>
      </c>
      <c r="B103" s="23">
        <v>79.430099858801327</v>
      </c>
      <c r="C103" s="23">
        <v>95.56551996753636</v>
      </c>
      <c r="D103" s="23"/>
      <c r="I103" s="23"/>
      <c r="J103" s="23"/>
    </row>
    <row r="104" spans="1:10" x14ac:dyDescent="0.15">
      <c r="A104" s="3">
        <v>460</v>
      </c>
      <c r="B104" s="19">
        <v>79.120498623830883</v>
      </c>
      <c r="C104" s="19">
        <v>96.411853500435257</v>
      </c>
      <c r="D104" s="19"/>
      <c r="I104" s="19"/>
      <c r="J104" s="19"/>
    </row>
    <row r="105" spans="1:10" x14ac:dyDescent="0.15">
      <c r="A105" s="3">
        <v>465</v>
      </c>
      <c r="B105" s="19">
        <v>78.927763288693129</v>
      </c>
      <c r="C105" s="19">
        <v>97.268385863375883</v>
      </c>
      <c r="D105" s="19"/>
      <c r="I105" s="19"/>
      <c r="J105" s="19"/>
    </row>
    <row r="106" spans="1:10" x14ac:dyDescent="0.15">
      <c r="A106" s="3">
        <v>470</v>
      </c>
      <c r="B106" s="19">
        <v>78.836647475548617</v>
      </c>
      <c r="C106" s="19">
        <v>98.085739631483406</v>
      </c>
      <c r="D106" s="19"/>
      <c r="I106" s="19"/>
      <c r="J106" s="19"/>
    </row>
    <row r="107" spans="1:10" x14ac:dyDescent="0.15">
      <c r="A107" s="3">
        <v>475</v>
      </c>
      <c r="B107" s="19">
        <v>78.829686625733359</v>
      </c>
      <c r="C107" s="19">
        <v>98.827614561543172</v>
      </c>
      <c r="D107" s="19"/>
      <c r="I107" s="19"/>
      <c r="J107" s="19"/>
    </row>
    <row r="108" spans="1:10" x14ac:dyDescent="0.15">
      <c r="A108" s="3">
        <v>480</v>
      </c>
      <c r="B108" s="19">
        <v>78.888649440215048</v>
      </c>
      <c r="C108" s="19">
        <v>99.469892081930425</v>
      </c>
      <c r="D108" s="19"/>
      <c r="I108" s="19"/>
      <c r="J108" s="19"/>
    </row>
    <row r="109" spans="1:10" x14ac:dyDescent="0.15">
      <c r="A109" s="3">
        <v>485</v>
      </c>
      <c r="B109" s="19">
        <v>78.99571045747679</v>
      </c>
      <c r="C109" s="19">
        <v>99.999267694143924</v>
      </c>
      <c r="D109" s="19"/>
      <c r="I109" s="19"/>
      <c r="J109" s="19"/>
    </row>
    <row r="110" spans="1:10" x14ac:dyDescent="0.15">
      <c r="A110" s="3">
        <v>490</v>
      </c>
      <c r="B110" s="19">
        <v>79.13434094189742</v>
      </c>
      <c r="C110" s="19">
        <v>100.41159094472491</v>
      </c>
      <c r="D110" s="19"/>
      <c r="I110" s="19"/>
      <c r="J110" s="19"/>
    </row>
    <row r="111" spans="1:10" x14ac:dyDescent="0.15">
      <c r="A111" s="3">
        <v>495</v>
      </c>
      <c r="B111" s="19">
        <v>79.289931377942679</v>
      </c>
      <c r="C111" s="19">
        <v>100.71006897541393</v>
      </c>
      <c r="D111" s="19"/>
      <c r="I111" s="19"/>
      <c r="J111" s="19"/>
    </row>
    <row r="112" spans="1:10" x14ac:dyDescent="0.15">
      <c r="A112" s="3">
        <v>500</v>
      </c>
      <c r="B112" s="19">
        <v>79.450170690212914</v>
      </c>
      <c r="C112" s="19">
        <v>100.90346265715418</v>
      </c>
      <c r="D112" s="19"/>
      <c r="I112" s="19"/>
      <c r="J112" s="19"/>
    </row>
    <row r="113" spans="1:10" x14ac:dyDescent="0.15">
      <c r="A113" s="3">
        <v>505</v>
      </c>
      <c r="B113" s="19">
        <v>79.605215136648994</v>
      </c>
      <c r="C113" s="19">
        <v>101.00437618678048</v>
      </c>
      <c r="D113" s="19"/>
      <c r="I113" s="19"/>
      <c r="J113" s="19"/>
    </row>
    <row r="114" spans="1:10" x14ac:dyDescent="0.15">
      <c r="A114" s="3">
        <v>510</v>
      </c>
      <c r="B114" s="19">
        <v>79.747684105568467</v>
      </c>
      <c r="C114" s="19">
        <v>101.02771357004546</v>
      </c>
      <c r="D114" s="19"/>
      <c r="I114" s="19"/>
      <c r="J114" s="19"/>
    </row>
    <row r="115" spans="1:10" x14ac:dyDescent="0.15">
      <c r="A115" s="3">
        <v>515</v>
      </c>
      <c r="B115" s="19">
        <v>79.872521334915731</v>
      </c>
      <c r="C115" s="19">
        <v>100.98934999291102</v>
      </c>
      <c r="D115" s="19"/>
      <c r="I115" s="19"/>
      <c r="J115" s="19"/>
    </row>
    <row r="116" spans="1:10" x14ac:dyDescent="0.15">
      <c r="A116" s="3">
        <v>520</v>
      </c>
      <c r="B116" s="19">
        <v>79.976758955929753</v>
      </c>
      <c r="C116" s="19">
        <v>100.90504364354975</v>
      </c>
      <c r="D116" s="19"/>
      <c r="I116" s="19"/>
      <c r="J116" s="19"/>
    </row>
    <row r="117" spans="1:10" x14ac:dyDescent="0.15">
      <c r="A117" s="3">
        <v>525</v>
      </c>
      <c r="B117" s="19">
        <v>80.059218836483694</v>
      </c>
      <c r="C117" s="19">
        <v>100.78959466510943</v>
      </c>
      <c r="D117" s="19"/>
      <c r="I117" s="19"/>
      <c r="J117" s="19"/>
    </row>
    <row r="118" spans="1:10" x14ac:dyDescent="0.15">
      <c r="A118" s="3">
        <v>530</v>
      </c>
      <c r="B118" s="19">
        <v>80.120181523181685</v>
      </c>
      <c r="C118" s="19">
        <v>100.65624284600092</v>
      </c>
      <c r="D118" s="19"/>
      <c r="I118" s="19"/>
      <c r="J118" s="19"/>
    </row>
    <row r="119" spans="1:10" x14ac:dyDescent="0.15">
      <c r="A119" s="3">
        <v>535</v>
      </c>
      <c r="B119" s="19">
        <v>80.16104816197219</v>
      </c>
      <c r="C119" s="19">
        <v>100.51628437698959</v>
      </c>
      <c r="D119" s="19"/>
      <c r="I119" s="19"/>
      <c r="J119" s="19"/>
    </row>
    <row r="120" spans="1:10" x14ac:dyDescent="0.15">
      <c r="A120" s="3">
        <v>540</v>
      </c>
      <c r="B120" s="19">
        <v>80.184015549567732</v>
      </c>
      <c r="C120" s="19">
        <v>100.37888030352779</v>
      </c>
      <c r="D120" s="19"/>
      <c r="I120" s="19"/>
      <c r="J120" s="19"/>
    </row>
    <row r="121" spans="1:10" x14ac:dyDescent="0.15">
      <c r="A121" s="3">
        <v>545</v>
      </c>
      <c r="B121" s="19">
        <v>80.191779288091453</v>
      </c>
      <c r="C121" s="19">
        <v>100.25102481010177</v>
      </c>
      <c r="D121" s="19"/>
      <c r="I121" s="19"/>
      <c r="J121" s="19"/>
    </row>
    <row r="122" spans="1:10" x14ac:dyDescent="0.15">
      <c r="A122" s="3">
        <v>550</v>
      </c>
      <c r="B122" s="19">
        <v>80.18727515753956</v>
      </c>
      <c r="C122" s="19">
        <v>100.13763972814751</v>
      </c>
      <c r="D122" s="19"/>
      <c r="I122" s="19"/>
      <c r="J122" s="19"/>
    </row>
    <row r="123" spans="1:10" x14ac:dyDescent="0.15">
      <c r="A123" s="3">
        <v>555</v>
      </c>
      <c r="B123" s="19">
        <v>80.173464480874685</v>
      </c>
      <c r="C123" s="19">
        <v>100.04176214884197</v>
      </c>
      <c r="D123" s="19"/>
      <c r="I123" s="19"/>
      <c r="J123" s="19"/>
    </row>
    <row r="124" spans="1:10" x14ac:dyDescent="0.15">
      <c r="A124" s="3">
        <v>560</v>
      </c>
      <c r="B124" s="19">
        <v>80.153165559008599</v>
      </c>
      <c r="C124" s="19">
        <v>99.964794225502416</v>
      </c>
      <c r="D124" s="19"/>
      <c r="I124" s="19"/>
      <c r="J124" s="19"/>
    </row>
    <row r="125" spans="1:10" x14ac:dyDescent="0.15">
      <c r="A125" s="3">
        <v>565</v>
      </c>
      <c r="B125" s="19">
        <v>80.128930258960011</v>
      </c>
      <c r="C125" s="19">
        <v>99.906787667158724</v>
      </c>
      <c r="D125" s="19"/>
      <c r="I125" s="19"/>
      <c r="J125" s="19"/>
    </row>
    <row r="126" spans="1:10" x14ac:dyDescent="0.15">
      <c r="A126" s="3">
        <v>570</v>
      </c>
      <c r="B126" s="19">
        <v>80.102962557170272</v>
      </c>
      <c r="C126" s="19">
        <v>99.866739598734412</v>
      </c>
      <c r="D126" s="19"/>
      <c r="I126" s="19"/>
      <c r="J126" s="19"/>
    </row>
    <row r="127" spans="1:10" x14ac:dyDescent="0.15">
      <c r="A127" s="3">
        <v>575</v>
      </c>
      <c r="B127" s="19">
        <v>80.077074239195028</v>
      </c>
      <c r="C127" s="19">
        <v>99.842880997108452</v>
      </c>
      <c r="D127" s="19"/>
      <c r="I127" s="19"/>
      <c r="J127" s="19"/>
    </row>
    <row r="128" spans="1:10" x14ac:dyDescent="0.15">
      <c r="A128" s="3">
        <v>580</v>
      </c>
      <c r="B128" s="19">
        <v>80.052671974300395</v>
      </c>
      <c r="C128" s="19">
        <v>99.832943477086232</v>
      </c>
      <c r="D128" s="19"/>
      <c r="I128" s="19"/>
      <c r="J128" s="19"/>
    </row>
    <row r="129" spans="1:10" x14ac:dyDescent="0.15">
      <c r="A129" s="3">
        <v>585</v>
      </c>
      <c r="B129" s="19">
        <v>80.03076953622724</v>
      </c>
      <c r="C129" s="19">
        <v>99.83439453901714</v>
      </c>
      <c r="D129" s="19"/>
      <c r="I129" s="19"/>
      <c r="J129" s="19"/>
    </row>
    <row r="130" spans="1:10" x14ac:dyDescent="0.15">
      <c r="A130" s="3">
        <v>590</v>
      </c>
      <c r="B130" s="19">
        <v>80.012018935723077</v>
      </c>
      <c r="C130" s="19">
        <v>99.844635312042996</v>
      </c>
      <c r="D130" s="19"/>
      <c r="I130" s="19"/>
      <c r="J130" s="19"/>
    </row>
    <row r="131" spans="1:10" x14ac:dyDescent="0.15">
      <c r="A131" s="3">
        <v>595</v>
      </c>
      <c r="B131" s="19">
        <v>79.996754569010534</v>
      </c>
      <c r="C131" s="19">
        <v>99.861158209862808</v>
      </c>
      <c r="D131" s="19"/>
      <c r="I131" s="19"/>
      <c r="J131" s="19"/>
    </row>
    <row r="132" spans="1:10" x14ac:dyDescent="0.15">
      <c r="A132" s="3">
        <v>600</v>
      </c>
      <c r="B132" s="19">
        <v>79.98504507439803</v>
      </c>
      <c r="C132" s="19">
        <v>99.881664692644051</v>
      </c>
      <c r="D132" s="19"/>
      <c r="I132" s="19"/>
      <c r="J132" s="19"/>
    </row>
    <row r="133" spans="1:10" x14ac:dyDescent="0.15">
      <c r="B133" s="19"/>
      <c r="C133" s="19"/>
      <c r="D133" s="19"/>
      <c r="I133" s="19"/>
      <c r="J133" s="19"/>
    </row>
    <row r="134" spans="1:10" x14ac:dyDescent="0.15">
      <c r="B134" s="19"/>
      <c r="C134" s="19"/>
      <c r="D134" s="19"/>
    </row>
    <row r="135" spans="1:10" x14ac:dyDescent="0.15">
      <c r="B135" s="19"/>
      <c r="C135" s="19"/>
      <c r="D135" s="19"/>
    </row>
    <row r="136" spans="1:10" x14ac:dyDescent="0.15">
      <c r="B136" s="19"/>
      <c r="C136" s="19"/>
      <c r="D136" s="19"/>
    </row>
    <row r="137" spans="1:10" x14ac:dyDescent="0.15">
      <c r="B137" s="19"/>
      <c r="C137" s="19"/>
      <c r="D137" s="19"/>
    </row>
    <row r="138" spans="1:10" x14ac:dyDescent="0.15">
      <c r="B138" s="19"/>
      <c r="C138" s="19"/>
      <c r="D138" s="19"/>
    </row>
    <row r="139" spans="1:10" x14ac:dyDescent="0.15">
      <c r="B139" s="19"/>
      <c r="C139" s="19"/>
      <c r="D139" s="19"/>
    </row>
    <row r="140" spans="1:10" x14ac:dyDescent="0.15">
      <c r="B140" s="19"/>
      <c r="C140" s="19"/>
      <c r="D140" s="19"/>
    </row>
    <row r="141" spans="1:10" x14ac:dyDescent="0.15">
      <c r="B141" s="19"/>
      <c r="C141" s="19"/>
      <c r="D141" s="19"/>
    </row>
    <row r="142" spans="1:10" x14ac:dyDescent="0.15">
      <c r="B142" s="19"/>
      <c r="C142" s="19"/>
      <c r="D142" s="19"/>
    </row>
    <row r="143" spans="1:10" x14ac:dyDescent="0.15">
      <c r="B143" s="19"/>
      <c r="C143" s="19"/>
      <c r="D143" s="19"/>
    </row>
    <row r="144" spans="1:10" x14ac:dyDescent="0.15">
      <c r="B144" s="19"/>
      <c r="C144" s="19"/>
      <c r="D144" s="19"/>
    </row>
    <row r="145" spans="2:4" x14ac:dyDescent="0.15">
      <c r="B145" s="19"/>
      <c r="C145" s="19"/>
      <c r="D145" s="19"/>
    </row>
    <row r="146" spans="2:4" x14ac:dyDescent="0.15">
      <c r="B146" s="19"/>
      <c r="C146" s="19"/>
      <c r="D146" s="19"/>
    </row>
    <row r="147" spans="2:4" x14ac:dyDescent="0.15">
      <c r="B147" s="19"/>
      <c r="C147" s="19"/>
      <c r="D147" s="19"/>
    </row>
    <row r="148" spans="2:4" x14ac:dyDescent="0.15">
      <c r="B148" s="19"/>
      <c r="C148" s="19"/>
      <c r="D148" s="19"/>
    </row>
    <row r="149" spans="2:4" x14ac:dyDescent="0.15">
      <c r="B149" s="19"/>
      <c r="C149" s="19"/>
      <c r="D149" s="19"/>
    </row>
    <row r="150" spans="2:4" x14ac:dyDescent="0.15">
      <c r="B150" s="19"/>
      <c r="C150" s="19"/>
      <c r="D150" s="19"/>
    </row>
    <row r="151" spans="2:4" x14ac:dyDescent="0.15">
      <c r="B151" s="19"/>
      <c r="C151" s="19"/>
      <c r="D151" s="19"/>
    </row>
    <row r="152" spans="2:4" x14ac:dyDescent="0.15">
      <c r="B152" s="19"/>
      <c r="C152" s="19"/>
      <c r="D152" s="19"/>
    </row>
    <row r="153" spans="2:4" x14ac:dyDescent="0.15">
      <c r="B153" s="19"/>
      <c r="C153" s="19"/>
      <c r="D153" s="19"/>
    </row>
    <row r="154" spans="2:4" x14ac:dyDescent="0.15">
      <c r="B154" s="19"/>
      <c r="C154" s="19"/>
      <c r="D154" s="19"/>
    </row>
    <row r="155" spans="2:4" x14ac:dyDescent="0.15">
      <c r="B155" s="19"/>
      <c r="C155" s="19"/>
      <c r="D155" s="19"/>
    </row>
    <row r="156" spans="2:4" x14ac:dyDescent="0.15">
      <c r="B156" s="19"/>
      <c r="C156" s="19"/>
      <c r="D156" s="19"/>
    </row>
    <row r="157" spans="2:4" x14ac:dyDescent="0.15">
      <c r="B157" s="19"/>
      <c r="C157" s="19"/>
      <c r="D157" s="19"/>
    </row>
    <row r="158" spans="2:4" x14ac:dyDescent="0.15">
      <c r="B158" s="19"/>
      <c r="C158" s="19"/>
      <c r="D158" s="19"/>
    </row>
    <row r="159" spans="2:4" x14ac:dyDescent="0.15">
      <c r="B159" s="19"/>
      <c r="C159" s="19"/>
      <c r="D159" s="19"/>
    </row>
    <row r="160" spans="2:4" x14ac:dyDescent="0.15">
      <c r="B160" s="19"/>
      <c r="C160" s="19"/>
      <c r="D160" s="19"/>
    </row>
    <row r="161" spans="2:4" x14ac:dyDescent="0.15">
      <c r="B161" s="19"/>
      <c r="C161" s="19"/>
      <c r="D161" s="19"/>
    </row>
    <row r="162" spans="2:4" x14ac:dyDescent="0.15">
      <c r="B162" s="19"/>
      <c r="C162" s="19"/>
      <c r="D162" s="19"/>
    </row>
    <row r="163" spans="2:4" x14ac:dyDescent="0.15">
      <c r="B163" s="19"/>
      <c r="C163" s="19"/>
      <c r="D163" s="19"/>
    </row>
    <row r="164" spans="2:4" x14ac:dyDescent="0.15">
      <c r="B164" s="19"/>
      <c r="C164" s="19"/>
      <c r="D164" s="19"/>
    </row>
    <row r="165" spans="2:4" x14ac:dyDescent="0.15">
      <c r="B165" s="19"/>
      <c r="C165" s="19"/>
      <c r="D165" s="19"/>
    </row>
    <row r="166" spans="2:4" x14ac:dyDescent="0.15">
      <c r="B166" s="19"/>
      <c r="C166" s="19"/>
      <c r="D166" s="19"/>
    </row>
    <row r="167" spans="2:4" x14ac:dyDescent="0.15">
      <c r="B167" s="19"/>
      <c r="C167" s="19"/>
      <c r="D167" s="19"/>
    </row>
    <row r="168" spans="2:4" x14ac:dyDescent="0.15">
      <c r="B168" s="19"/>
      <c r="C168" s="19"/>
      <c r="D168" s="19"/>
    </row>
    <row r="169" spans="2:4" x14ac:dyDescent="0.15">
      <c r="B169" s="19"/>
      <c r="C169" s="19"/>
      <c r="D169" s="19"/>
    </row>
    <row r="170" spans="2:4" x14ac:dyDescent="0.15">
      <c r="B170" s="19"/>
      <c r="C170" s="19"/>
      <c r="D170" s="19"/>
    </row>
    <row r="171" spans="2:4" x14ac:dyDescent="0.15">
      <c r="B171" s="19"/>
      <c r="C171" s="19"/>
      <c r="D171" s="19"/>
    </row>
    <row r="172" spans="2:4" x14ac:dyDescent="0.15">
      <c r="B172" s="19"/>
      <c r="C172" s="19"/>
      <c r="D172" s="19"/>
    </row>
    <row r="173" spans="2:4" x14ac:dyDescent="0.15">
      <c r="B173" s="19"/>
      <c r="C173" s="19"/>
      <c r="D173" s="19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9" r:id="rId4">
          <objectPr defaultSize="0" autoPict="0" r:id="rId5">
            <anchor moveWithCells="1" sizeWithCells="1">
              <from>
                <xdr:col>7</xdr:col>
                <xdr:colOff>413468</xdr:colOff>
                <xdr:row>1</xdr:row>
                <xdr:rowOff>47708</xdr:rowOff>
              </from>
              <to>
                <xdr:col>11</xdr:col>
                <xdr:colOff>564543</xdr:colOff>
                <xdr:row>4</xdr:row>
                <xdr:rowOff>79513</xdr:rowOff>
              </to>
            </anchor>
          </objectPr>
        </oleObject>
      </mc:Choice>
      <mc:Fallback>
        <oleObject progId="Equation.3" shapeId="1049" r:id="rId4"/>
      </mc:Fallback>
    </mc:AlternateContent>
    <mc:AlternateContent xmlns:mc="http://schemas.openxmlformats.org/markup-compatibility/2006">
      <mc:Choice Requires="x14">
        <oleObject progId="Equation.3" shapeId="1050" r:id="rId6">
          <objectPr defaultSize="0" r:id="rId7">
            <anchor moveWithCells="1" sizeWithCells="1">
              <from>
                <xdr:col>7</xdr:col>
                <xdr:colOff>413468</xdr:colOff>
                <xdr:row>4</xdr:row>
                <xdr:rowOff>111318</xdr:rowOff>
              </from>
              <to>
                <xdr:col>11</xdr:col>
                <xdr:colOff>333955</xdr:colOff>
                <xdr:row>7</xdr:row>
                <xdr:rowOff>127221</xdr:rowOff>
              </to>
            </anchor>
          </objectPr>
        </oleObject>
      </mc:Choice>
      <mc:Fallback>
        <oleObject progId="Equation.3" shapeId="1050" r:id="rId6"/>
      </mc:Fallback>
    </mc:AlternateContent>
    <mc:AlternateContent xmlns:mc="http://schemas.openxmlformats.org/markup-compatibility/2006">
      <mc:Choice Requires="x14">
        <oleObject progId="Equation.3" shapeId="1051" r:id="rId8">
          <objectPr defaultSize="0" autoPict="0" r:id="rId9">
            <anchor moveWithCells="1" sizeWithCells="1">
              <from>
                <xdr:col>7</xdr:col>
                <xdr:colOff>580445</xdr:colOff>
                <xdr:row>8</xdr:row>
                <xdr:rowOff>63610</xdr:rowOff>
              </from>
              <to>
                <xdr:col>11</xdr:col>
                <xdr:colOff>103367</xdr:colOff>
                <xdr:row>10</xdr:row>
                <xdr:rowOff>31805</xdr:rowOff>
              </to>
            </anchor>
          </objectPr>
        </oleObject>
      </mc:Choice>
      <mc:Fallback>
        <oleObject progId="Equation.3" shapeId="1051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469127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例題1.14加熱・冷却撹拌槽の温度制御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2017-01-23T08:20:03Z</dcterms:modified>
</cp:coreProperties>
</file>