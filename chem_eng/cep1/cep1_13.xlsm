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50" yWindow="138" windowWidth="13799" windowHeight="13023"/>
  </bookViews>
  <sheets>
    <sheet name="例題1.13 2次遅れ要素PDI制御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C5" i="2" l="1"/>
  <c r="B5" i="2"/>
  <c r="D5" i="2" l="1"/>
</calcChain>
</file>

<file path=xl/comments1.xml><?xml version="1.0" encoding="utf-8"?>
<comments xmlns="http://schemas.openxmlformats.org/spreadsheetml/2006/main">
  <authors>
    <author>aito</author>
    <author>Itolab11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=(1/G2)*D3-(1/G2/G3)*B3
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=(1/G4/G3)*B3-(1/G4/G6)*C3
</t>
        </r>
      </text>
    </comment>
    <comment ref="D5" authorId="1" shapeId="0">
      <text>
        <r>
          <rPr>
            <sz val="10"/>
            <color indexed="81"/>
            <rFont val="ＭＳ Ｐゴシック"/>
            <family val="3"/>
            <charset val="128"/>
          </rPr>
          <t>=-G9*C5+(G9/G10)*(G8-C3)-G9*G11*((1/G4/G3)*B5-(1/G4/G6)*C5)</t>
        </r>
      </text>
    </comment>
  </commentList>
</comments>
</file>

<file path=xl/sharedStrings.xml><?xml version="1.0" encoding="utf-8"?>
<sst xmlns="http://schemas.openxmlformats.org/spreadsheetml/2006/main" count="27" uniqueCount="27">
  <si>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</si>
  <si>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</si>
  <si>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</si>
  <si>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</si>
  <si>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</si>
  <si>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R1=</t>
    <phoneticPr fontId="2"/>
  </si>
  <si>
    <t>A2=</t>
    <phoneticPr fontId="2"/>
  </si>
  <si>
    <t>R2=</t>
    <phoneticPr fontId="2"/>
  </si>
  <si>
    <t>hset=</t>
    <phoneticPr fontId="2"/>
  </si>
  <si>
    <t>Kc=</t>
    <phoneticPr fontId="2"/>
  </si>
  <si>
    <t>TI=</t>
    <phoneticPr fontId="2"/>
  </si>
  <si>
    <t>t=</t>
    <phoneticPr fontId="2"/>
  </si>
  <si>
    <t>h1=</t>
    <phoneticPr fontId="2"/>
  </si>
  <si>
    <t>h=</t>
    <phoneticPr fontId="2"/>
  </si>
  <si>
    <t>h1'=</t>
    <phoneticPr fontId="2"/>
  </si>
  <si>
    <t>h'=</t>
    <phoneticPr fontId="2"/>
  </si>
  <si>
    <t>t</t>
    <phoneticPr fontId="2"/>
  </si>
  <si>
    <t>h1</t>
    <phoneticPr fontId="2"/>
  </si>
  <si>
    <t>h</t>
    <phoneticPr fontId="2"/>
  </si>
  <si>
    <t>A1=</t>
    <phoneticPr fontId="2"/>
  </si>
  <si>
    <t>積分区間t=[a,</t>
    <rPh sb="0" eb="2">
      <t>セキブン</t>
    </rPh>
    <rPh sb="2" eb="4">
      <t>クカン</t>
    </rPh>
    <phoneticPr fontId="2"/>
  </si>
  <si>
    <t>TD=</t>
    <phoneticPr fontId="2"/>
  </si>
  <si>
    <t>積分刻み幅Δt</t>
  </si>
  <si>
    <t>F=</t>
    <phoneticPr fontId="2"/>
  </si>
  <si>
    <t>F'=</t>
    <phoneticPr fontId="2"/>
  </si>
  <si>
    <t>F</t>
    <phoneticPr fontId="2"/>
  </si>
  <si>
    <t>Fss=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</si>
</sst>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_);[Red]\(0.0\)"/>
    <numFmt numFmtId="181" formatCode="0.000_);[Red]\(0.000\)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5">
    <xf numFmtId="0" fontId="0" fillId="0" borderId="0" xfId="0">
      <alignment vertical="center"/>
    </xf>
    <xf numFmtId="0" fontId="3" fillId="0" borderId="0" xfId="2" applyFont="1"/>
    <xf numFmtId="177" fontId="3" fillId="0" borderId="0" xfId="2" applyNumberFormat="1" applyFont="1"/>
    <xf numFmtId="178" fontId="3" fillId="0" borderId="0" xfId="2" applyNumberFormat="1" applyFont="1"/>
    <xf numFmtId="178" fontId="3" fillId="0" borderId="0" xfId="2" applyNumberFormat="1" applyFont="1" applyAlignment="1">
      <alignment horizontal="right"/>
    </xf>
    <xf numFmtId="0" fontId="3" fillId="0" borderId="1" xfId="2" applyFont="1" applyBorder="1"/>
    <xf numFmtId="0" fontId="3" fillId="0" borderId="2" xfId="2" applyFont="1" applyBorder="1"/>
    <xf numFmtId="0" fontId="3" fillId="0" borderId="3" xfId="2" applyFont="1" applyBorder="1"/>
    <xf numFmtId="0" fontId="3" fillId="0" borderId="4" xfId="2" applyFont="1" applyBorder="1"/>
    <xf numFmtId="0" fontId="3" fillId="0" borderId="5" xfId="2" applyFont="1" applyBorder="1"/>
    <xf numFmtId="179" fontId="3" fillId="0" borderId="0" xfId="2" applyNumberFormat="1" applyFont="1"/>
    <xf numFmtId="0" fontId="3" fillId="0" borderId="0" xfId="2" applyFont="1" applyAlignment="1">
      <alignment horizontal="right"/>
    </xf>
    <xf numFmtId="11" fontId="3" fillId="0" borderId="6" xfId="2" applyNumberFormat="1" applyFont="1" applyBorder="1"/>
    <xf numFmtId="0" fontId="3" fillId="0" borderId="0" xfId="2" applyNumberFormat="1" applyFont="1"/>
    <xf numFmtId="11" fontId="3" fillId="0" borderId="7" xfId="2" applyNumberFormat="1" applyFont="1" applyBorder="1"/>
    <xf numFmtId="178" fontId="3" fillId="0" borderId="0" xfId="2" applyNumberFormat="1" applyFont="1" applyBorder="1"/>
    <xf numFmtId="176" fontId="3" fillId="0" borderId="4" xfId="2" applyNumberFormat="1" applyFont="1" applyBorder="1"/>
    <xf numFmtId="176" fontId="3" fillId="0" borderId="0" xfId="2" applyNumberFormat="1" applyFont="1"/>
    <xf numFmtId="181" fontId="3" fillId="0" borderId="0" xfId="2" applyNumberFormat="1" applyFont="1"/>
    <xf numFmtId="0" fontId="3" fillId="0" borderId="0" xfId="2" applyFont="1" applyBorder="1"/>
    <xf numFmtId="177" fontId="3" fillId="0" borderId="0" xfId="2" applyNumberFormat="1" applyFont="1" applyAlignment="1">
      <alignment horizontal="right"/>
    </xf>
    <xf numFmtId="180" fontId="3" fillId="0" borderId="6" xfId="2" applyNumberFormat="1" applyFont="1" applyBorder="1"/>
    <xf numFmtId="180" fontId="3" fillId="0" borderId="0" xfId="2" applyNumberFormat="1" applyFont="1"/>
    <xf numFmtId="180" fontId="3" fillId="0" borderId="7" xfId="2" applyNumberFormat="1" applyFont="1" applyBorder="1"/>
    <xf numFmtId="0" fontId="5" fillId="0" borderId="0" xfId="1" applyFont="1" applyAlignment="1" applyProtection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45024730180302"/>
          <c:y val="6.4935339452023524E-2"/>
          <c:w val="0.80906404563626877"/>
          <c:h val="0.7705660281640124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'例題1.13 2次遅れ要素PDI制御'!$B$11</c:f>
              <c:strCache>
                <c:ptCount val="1"/>
                <c:pt idx="0">
                  <c:v>h1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'例題1.13 2次遅れ要素PDI制御'!$A$12:$A$74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</c:numCache>
            </c:numRef>
          </c:xVal>
          <c:yVal>
            <c:numRef>
              <c:f>'例題1.13 2次遅れ要素PDI制御'!$B$12:$B$74</c:f>
              <c:numCache>
                <c:formatCode>0.0_);[Red]\(0.0\)</c:formatCode>
                <c:ptCount val="63"/>
                <c:pt idx="0">
                  <c:v>20</c:v>
                </c:pt>
                <c:pt idx="1">
                  <c:v>21.518735633066665</c:v>
                </c:pt>
                <c:pt idx="2">
                  <c:v>22.882585191786472</c:v>
                </c:pt>
                <c:pt idx="3">
                  <c:v>24.102769360618748</c:v>
                </c:pt>
                <c:pt idx="4">
                  <c:v>25.190133839314484</c:v>
                </c:pt>
                <c:pt idx="5">
                  <c:v>26.155101550684865</c:v>
                </c:pt>
                <c:pt idx="6">
                  <c:v>27.007636833722785</c:v>
                </c:pt>
                <c:pt idx="7">
                  <c:v>27.757220033874297</c:v>
                </c:pt>
                <c:pt idx="8">
                  <c:v>28.412831056352797</c:v>
                </c:pt>
                <c:pt idx="9">
                  <c:v>28.982940591768422</c:v>
                </c:pt>
                <c:pt idx="10">
                  <c:v>29.47550785631957</c:v>
                </c:pt>
                <c:pt idx="11">
                  <c:v>29.89798381172637</c:v>
                </c:pt>
                <c:pt idx="12">
                  <c:v>30.257318943382582</c:v>
                </c:pt>
                <c:pt idx="13">
                  <c:v>30.559974779297693</c:v>
                </c:pt>
                <c:pt idx="14">
                  <c:v>30.811938427751119</c:v>
                </c:pt>
                <c:pt idx="15">
                  <c:v>31.0187394986546</c:v>
                </c:pt>
                <c:pt idx="16">
                  <c:v>31.18546885289247</c:v>
                </c:pt>
                <c:pt idx="17">
                  <c:v>31.316798695858648</c:v>
                </c:pt>
                <c:pt idx="18">
                  <c:v>31.417003596505353</c:v>
                </c:pt>
                <c:pt idx="19">
                  <c:v>31.4899820719254</c:v>
                </c:pt>
                <c:pt idx="20">
                  <c:v>31.539278430259046</c:v>
                </c:pt>
                <c:pt idx="21">
                  <c:v>31.568104611985515</c:v>
                </c:pt>
                <c:pt idx="22">
                  <c:v>31.579361811850035</c:v>
                </c:pt>
                <c:pt idx="23">
                  <c:v>31.575661701192882</c:v>
                </c:pt>
                <c:pt idx="24">
                  <c:v>31.559347103672415</c:v>
                </c:pt>
                <c:pt idx="25">
                  <c:v>31.532512006674427</c:v>
                </c:pt>
                <c:pt idx="26">
                  <c:v>31.497020816420079</c:v>
                </c:pt>
                <c:pt idx="27">
                  <c:v>31.454526787248927</c:v>
                </c:pt>
                <c:pt idx="28">
                  <c:v>31.406489575066505</c:v>
                </c:pt>
                <c:pt idx="29">
                  <c:v>31.354191881791824</c:v>
                </c:pt>
                <c:pt idx="30">
                  <c:v>31.29875517208389</c:v>
                </c:pt>
                <c:pt idx="31">
                  <c:v>31.241154455913804</c:v>
                </c:pt>
                <c:pt idx="32">
                  <c:v>31.18223214090726</c:v>
                </c:pt>
                <c:pt idx="33">
                  <c:v>31.122710967021476</c:v>
                </c:pt>
                <c:pt idx="34">
                  <c:v>31.063206043233109</c:v>
                </c:pt>
                <c:pt idx="35">
                  <c:v>31.004236011676653</c:v>
                </c:pt>
                <c:pt idx="36">
                  <c:v>30.946233369247462</c:v>
                </c:pt>
                <c:pt idx="37">
                  <c:v>30.889553980217158</c:v>
                </c:pt>
                <c:pt idx="38">
                  <c:v>30.834485816035425</c:v>
                </c:pt>
                <c:pt idx="39">
                  <c:v>30.781256960332001</c:v>
                </c:pt>
                <c:pt idx="40">
                  <c:v>30.730042918295297</c:v>
                </c:pt>
                <c:pt idx="41">
                  <c:v>30.680973270187813</c:v>
                </c:pt>
                <c:pt idx="42">
                  <c:v>30.634137708851377</c:v>
                </c:pt>
                <c:pt idx="43">
                  <c:v>30.589591500735914</c:v>
                </c:pt>
                <c:pt idx="44">
                  <c:v>30.547360409324014</c:v>
                </c:pt>
                <c:pt idx="45">
                  <c:v>30.507445118881975</c:v>
                </c:pt>
                <c:pt idx="46">
                  <c:v>30.469825195301279</c:v>
                </c:pt>
                <c:pt idx="47">
                  <c:v>30.434462619450475</c:v>
                </c:pt>
                <c:pt idx="48">
                  <c:v>30.40130492697849</c:v>
                </c:pt>
                <c:pt idx="49">
                  <c:v>30.370287986933121</c:v>
                </c:pt>
                <c:pt idx="50">
                  <c:v>30.341338449914375</c:v>
                </c:pt>
                <c:pt idx="51">
                  <c:v>30.314375894798701</c:v>
                </c:pt>
                <c:pt idx="52">
                  <c:v>30.289314701370341</c:v>
                </c:pt>
                <c:pt idx="53">
                  <c:v>30.266065674499199</c:v>
                </c:pt>
                <c:pt idx="54">
                  <c:v>30.24453744382761</c:v>
                </c:pt>
                <c:pt idx="55">
                  <c:v>30.224637661284422</c:v>
                </c:pt>
                <c:pt idx="56">
                  <c:v>30.206274017144921</c:v>
                </c:pt>
                <c:pt idx="57">
                  <c:v>30.189355093808253</c:v>
                </c:pt>
                <c:pt idx="58">
                  <c:v>30.173791074976815</c:v>
                </c:pt>
                <c:pt idx="59">
                  <c:v>30.15949432649969</c:v>
                </c:pt>
                <c:pt idx="60">
                  <c:v>30.146379863788468</c:v>
                </c:pt>
                <c:pt idx="61">
                  <c:v>30.134365719430829</c:v>
                </c:pt>
                <c:pt idx="62">
                  <c:v>30.123373223416525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2-4391-BEA1-4DCF84677753}"/>
            </c:ext>
          </c:extLst>
        </c:ser>
        <c:ser>
          <c:idx val="1"/>
          <c:order val="1"/>
          <c:tx>
            <c:strRef>
              <c:f>'例題1.13 2次遅れ要素PDI制御'!$C$11</c:f>
              <c:strCache>
                <c:ptCount val="1"/>
                <c:pt idx="0">
                  <c:v>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'例題1.13 2次遅れ要素PDI制御'!$A$12:$A$74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</c:numCache>
            </c:numRef>
          </c:xVal>
          <c:yVal>
            <c:numRef>
              <c:f>'例題1.13 2次遅れ要素PDI制御'!$C$12:$C$74</c:f>
              <c:numCache>
                <c:formatCode>0.0_);[Red]\(0.0\)</c:formatCode>
                <c:ptCount val="63"/>
                <c:pt idx="0">
                  <c:v>20</c:v>
                </c:pt>
                <c:pt idx="1">
                  <c:v>20.060192085333334</c:v>
                </c:pt>
                <c:pt idx="2">
                  <c:v>20.226415776692029</c:v>
                </c:pt>
                <c:pt idx="3">
                  <c:v>20.479050084510764</c:v>
                </c:pt>
                <c:pt idx="4">
                  <c:v>20.800830981819118</c:v>
                </c:pt>
                <c:pt idx="5">
                  <c:v>21.176639418037297</c:v>
                </c:pt>
                <c:pt idx="6">
                  <c:v>21.593302434198151</c:v>
                </c:pt>
                <c:pt idx="7">
                  <c:v>22.03940723089649</c:v>
                </c:pt>
                <c:pt idx="8">
                  <c:v>22.505127935664628</c:v>
                </c:pt>
                <c:pt idx="9">
                  <c:v>22.982064731341481</c:v>
                </c:pt>
                <c:pt idx="10">
                  <c:v>23.463094939032235</c:v>
                </c:pt>
                <c:pt idx="11">
                  <c:v>23.942235596340982</c:v>
                </c:pt>
                <c:pt idx="12">
                  <c:v>24.414517031785831</c:v>
                </c:pt>
                <c:pt idx="13">
                  <c:v>24.875866907940349</c:v>
                </c:pt>
                <c:pt idx="14">
                  <c:v>25.323004187320041</c:v>
                </c:pt>
                <c:pt idx="15">
                  <c:v>25.753342464937091</c:v>
                </c:pt>
                <c:pt idx="16">
                  <c:v>26.164902108514909</c:v>
                </c:pt>
                <c:pt idx="17">
                  <c:v>26.556230650454388</c:v>
                </c:pt>
                <c:pt idx="18">
                  <c:v>26.926330883767303</c:v>
                </c:pt>
                <c:pt idx="19">
                  <c:v>27.274596126444408</c:v>
                </c:pt>
                <c:pt idx="20">
                  <c:v>27.600752134315357</c:v>
                </c:pt>
                <c:pt idx="21">
                  <c:v>27.904805160688504</c:v>
                </c:pt>
                <c:pt idx="22">
                  <c:v>28.186995681321815</c:v>
                </c:pt>
                <c:pt idx="23">
                  <c:v>28.447757325040453</c:v>
                </c:pt>
                <c:pt idx="24">
                  <c:v>28.687680573122403</c:v>
                </c:pt>
                <c:pt idx="25">
                  <c:v>28.907480814025263</c:v>
                </c:pt>
                <c:pt idx="26">
                  <c:v>29.107970363787143</c:v>
                </c:pt>
                <c:pt idx="27">
                  <c:v>29.290034086216234</c:v>
                </c:pt>
                <c:pt idx="28">
                  <c:v>29.454608270547165</c:v>
                </c:pt>
                <c:pt idx="29">
                  <c:v>29.602662447388639</c:v>
                </c:pt>
                <c:pt idx="30">
                  <c:v>29.73518384635371</c:v>
                </c:pt>
                <c:pt idx="31">
                  <c:v>29.853164220620844</c:v>
                </c:pt>
                <c:pt idx="32">
                  <c:v>29.9575887847183</c:v>
                </c:pt>
                <c:pt idx="33">
                  <c:v>30.049427031979153</c:v>
                </c:pt>
                <c:pt idx="34">
                  <c:v>30.12962521732279</c:v>
                </c:pt>
                <c:pt idx="35">
                  <c:v>30.199100309243789</c:v>
                </c:pt>
                <c:pt idx="36">
                  <c:v>30.258735232108602</c:v>
                </c:pt>
                <c:pt idx="37">
                  <c:v>30.309375236066462</c:v>
                </c:pt>
                <c:pt idx="38">
                  <c:v>30.351825247076359</c:v>
                </c:pt>
                <c:pt idx="39">
                  <c:v>30.386848063749714</c:v>
                </c:pt>
                <c:pt idx="40">
                  <c:v>30.415163280928944</c:v>
                </c:pt>
                <c:pt idx="41">
                  <c:v>30.437446832192435</c:v>
                </c:pt>
                <c:pt idx="42">
                  <c:v>30.454331054828728</c:v>
                </c:pt>
                <c:pt idx="43">
                  <c:v>30.466405191292601</c:v>
                </c:pt>
                <c:pt idx="44">
                  <c:v>30.474216250782614</c:v>
                </c:pt>
                <c:pt idx="45">
                  <c:v>30.478270163403995</c:v>
                </c:pt>
                <c:pt idx="46">
                  <c:v>30.479033167445365</c:v>
                </c:pt>
                <c:pt idx="47">
                  <c:v>30.47693337764531</c:v>
                </c:pt>
                <c:pt idx="48">
                  <c:v>30.472362488998634</c:v>
                </c:pt>
                <c:pt idx="49">
                  <c:v>30.465677576695192</c:v>
                </c:pt>
                <c:pt idx="50">
                  <c:v>30.457202958238362</c:v>
                </c:pt>
                <c:pt idx="51">
                  <c:v>30.447232088697174</c:v>
                </c:pt>
                <c:pt idx="52">
                  <c:v>30.436029464445472</c:v>
                </c:pt>
                <c:pt idx="53">
                  <c:v>30.423832514671911</c:v>
                </c:pt>
                <c:pt idx="54">
                  <c:v>30.410853463443132</c:v>
                </c:pt>
                <c:pt idx="55">
                  <c:v>30.397281148204197</c:v>
                </c:pt>
                <c:pt idx="56">
                  <c:v>30.383282783338945</c:v>
                </c:pt>
                <c:pt idx="57">
                  <c:v>30.369005659819983</c:v>
                </c:pt>
                <c:pt idx="58">
                  <c:v>30.354578774083311</c:v>
                </c:pt>
                <c:pt idx="59">
                  <c:v>30.340114381094228</c:v>
                </c:pt>
                <c:pt idx="60">
                  <c:v>30.32570946815521</c:v>
                </c:pt>
                <c:pt idx="61">
                  <c:v>30.311447147367492</c:v>
                </c:pt>
                <c:pt idx="62">
                  <c:v>30.297397965818497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32-4391-BEA1-4DCF84677753}"/>
            </c:ext>
          </c:extLst>
        </c:ser>
        <c:ser>
          <c:idx val="2"/>
          <c:order val="2"/>
          <c:tx>
            <c:strRef>
              <c:f>'例題1.13 2次遅れ要素PDI制御'!$D$11</c:f>
              <c:strCache>
                <c:ptCount val="1"/>
                <c:pt idx="0">
                  <c:v>F</c:v>
                </c:pt>
              </c:strCache>
            </c:strRef>
          </c:tx>
          <c:spPr>
            <a:ln w="952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Ref>
              <c:f>'例題1.13 2次遅れ要素PDI制御'!$A$12:$A$74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</c:numCache>
            </c:numRef>
          </c:xVal>
          <c:yVal>
            <c:numRef>
              <c:f>'例題1.13 2次遅れ要素PDI制御'!$D$12:$D$74</c:f>
              <c:numCache>
                <c:formatCode>0.0_);[Red]\(0.0\)</c:formatCode>
                <c:ptCount val="63"/>
                <c:pt idx="0">
                  <c:v>40</c:v>
                </c:pt>
                <c:pt idx="1">
                  <c:v>39.511152831146667</c:v>
                </c:pt>
                <c:pt idx="2">
                  <c:v>39.009780671484485</c:v>
                </c:pt>
                <c:pt idx="3">
                  <c:v>38.502770928095224</c:v>
                </c:pt>
                <c:pt idx="4">
                  <c:v>37.99595658445115</c:v>
                </c:pt>
                <c:pt idx="5">
                  <c:v>37.494228827564982</c:v>
                </c:pt>
                <c:pt idx="6">
                  <c:v>37.00164079940442</c:v>
                </c:pt>
                <c:pt idx="7">
                  <c:v>36.521502878637136</c:v>
                </c:pt>
                <c:pt idx="8">
                  <c:v>36.056469917235823</c:v>
                </c:pt>
                <c:pt idx="9">
                  <c:v>35.608620867718479</c:v>
                </c:pt>
                <c:pt idx="10">
                  <c:v>35.17953124188476</c:v>
                </c:pt>
                <c:pt idx="11">
                  <c:v>34.770338841783023</c:v>
                </c:pt>
                <c:pt idx="12">
                  <c:v>34.381803199150916</c:v>
                </c:pt>
                <c:pt idx="13">
                  <c:v>34.014359151467609</c:v>
                </c:pt>
                <c:pt idx="14">
                  <c:v>33.668164971704059</c:v>
                </c:pt>
                <c:pt idx="15">
                  <c:v>33.343145455447214</c:v>
                </c:pt>
                <c:pt idx="16">
                  <c:v>33.039030353820493</c:v>
                </c:pt>
                <c:pt idx="17">
                  <c:v>32.755388523976691</c:v>
                </c:pt>
                <c:pt idx="18">
                  <c:v>32.491658151292192</c:v>
                </c:pt>
                <c:pt idx="19">
                  <c:v>32.24717337908119</c:v>
                </c:pt>
                <c:pt idx="20">
                  <c:v>32.0211876629645</c:v>
                </c:pt>
                <c:pt idx="21">
                  <c:v>31.812894148216905</c:v>
                </c:pt>
                <c:pt idx="22">
                  <c:v>31.621443349686789</c:v>
                </c:pt>
                <c:pt idx="23">
                  <c:v>31.445958395405864</c:v>
                </c:pt>
                <c:pt idx="24">
                  <c:v>31.285548076927498</c:v>
                </c:pt>
                <c:pt idx="25">
                  <c:v>31.139317931865197</c:v>
                </c:pt>
                <c:pt idx="26">
                  <c:v>31.006379567139895</c:v>
                </c:pt>
                <c:pt idx="27">
                  <c:v>30.885858415156733</c:v>
                </c:pt>
                <c:pt idx="28">
                  <c:v>30.776900099571609</c:v>
                </c:pt>
                <c:pt idx="29">
                  <c:v>30.678675572511942</c:v>
                </c:pt>
                <c:pt idx="30">
                  <c:v>30.590385171107833</c:v>
                </c:pt>
                <c:pt idx="31">
                  <c:v>30.511261727981253</c:v>
                </c:pt>
                <c:pt idx="32">
                  <c:v>30.440572857933351</c:v>
                </c:pt>
                <c:pt idx="33">
                  <c:v>30.377622531457529</c:v>
                </c:pt>
                <c:pt idx="34">
                  <c:v>30.321752034874798</c:v>
                </c:pt>
                <c:pt idx="35">
                  <c:v>30.272340406819623</c:v>
                </c:pt>
                <c:pt idx="36">
                  <c:v>30.228804431475183</c:v>
                </c:pt>
                <c:pt idx="37">
                  <c:v>30.190598260339929</c:v>
                </c:pt>
                <c:pt idx="38">
                  <c:v>30.157212726372784</c:v>
                </c:pt>
                <c:pt idx="39">
                  <c:v>30.128174407080479</c:v>
                </c:pt>
                <c:pt idx="40">
                  <c:v>30.103044486444549</c:v>
                </c:pt>
                <c:pt idx="41">
                  <c:v>30.081417459503442</c:v>
                </c:pt>
                <c:pt idx="42">
                  <c:v>30.062919717872866</c:v>
                </c:pt>
                <c:pt idx="43">
                  <c:v>30.047208049471088</c:v>
                </c:pt>
                <c:pt idx="44">
                  <c:v>30.033968081181282</c:v>
                </c:pt>
                <c:pt idx="45">
                  <c:v>30.022912689097648</c:v>
                </c:pt>
                <c:pt idx="46">
                  <c:v>30.013780397333409</c:v>
                </c:pt>
                <c:pt idx="47">
                  <c:v>30.006333783086035</c:v>
                </c:pt>
                <c:pt idx="48">
                  <c:v>30.000357902728183</c:v>
                </c:pt>
                <c:pt idx="49">
                  <c:v>29.995658751093444</c:v>
                </c:pt>
                <c:pt idx="50">
                  <c:v>29.99206176382657</c:v>
                </c:pt>
                <c:pt idx="51">
                  <c:v>29.989410370643043</c:v>
                </c:pt>
                <c:pt idx="52">
                  <c:v>29.987564605567925</c:v>
                </c:pt>
                <c:pt idx="53">
                  <c:v>29.986399778676233</c:v>
                </c:pt>
                <c:pt idx="54">
                  <c:v>29.985805212515235</c:v>
                </c:pt>
                <c:pt idx="55">
                  <c:v>29.985683045232843</c:v>
                </c:pt>
                <c:pt idx="56">
                  <c:v>29.985947101447298</c:v>
                </c:pt>
                <c:pt idx="57">
                  <c:v>29.986521831054251</c:v>
                </c:pt>
                <c:pt idx="58">
                  <c:v>29.987341315462213</c:v>
                </c:pt>
                <c:pt idx="59">
                  <c:v>29.988348340161433</c:v>
                </c:pt>
                <c:pt idx="60">
                  <c:v>29.989493532051185</c:v>
                </c:pt>
                <c:pt idx="61">
                  <c:v>29.990734559563688</c:v>
                </c:pt>
                <c:pt idx="62">
                  <c:v>29.992035393318282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32-4391-BEA1-4DCF84677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049967"/>
        <c:axId val="1"/>
      </c:scatterChart>
      <c:valAx>
        <c:axId val="2020049967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</a:t>
                </a:r>
              </a:p>
            </c:rich>
          </c:tx>
          <c:layout>
            <c:manualLayout>
              <c:xMode val="edge"/>
              <c:yMode val="edge"/>
              <c:x val="0.5254615960515896"/>
              <c:y val="0.90780879584798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50"/>
        <c:minorUnit val="25"/>
      </c:valAx>
      <c:valAx>
        <c:axId val="1"/>
        <c:scaling>
          <c:orientation val="minMax"/>
          <c:max val="50"/>
          <c:min val="10"/>
        </c:scaling>
        <c:delete val="0"/>
        <c:axPos val="l"/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020049967"/>
        <c:crosses val="autoZero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119270</xdr:colOff>
          <xdr:row>5</xdr:row>
          <xdr:rowOff>119270</xdr:rowOff>
        </xdr:from>
        <xdr:to>
          <xdr:col>3</xdr:col>
          <xdr:colOff>485030</xdr:colOff>
          <xdr:row>7</xdr:row>
          <xdr:rowOff>127221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127220</xdr:colOff>
      <xdr:row>15</xdr:row>
      <xdr:rowOff>23853</xdr:rowOff>
    </xdr:from>
    <xdr:to>
      <xdr:col>9</xdr:col>
      <xdr:colOff>667909</xdr:colOff>
      <xdr:row>29</xdr:row>
      <xdr:rowOff>79512</xdr:rowOff>
    </xdr:to>
    <xdr:graphicFrame macro="">
      <xdr:nvGraphicFramePr>
        <xdr:cNvPr id="1054" name="グラフ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143124</xdr:colOff>
      <xdr:row>0</xdr:row>
      <xdr:rowOff>95415</xdr:rowOff>
    </xdr:from>
    <xdr:to>
      <xdr:col>15</xdr:col>
      <xdr:colOff>78564</xdr:colOff>
      <xdr:row>8</xdr:row>
      <xdr:rowOff>127221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48432" y="95415"/>
          <a:ext cx="5278716" cy="1272209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0.51129</cdr:x>
      <cdr:y>0.59927</cdr:y>
    </cdr:from>
    <cdr:to>
      <cdr:x>0.54506</cdr:x>
      <cdr:y>0.68251</cdr:y>
    </cdr:to>
    <cdr:sp macro="" textlink="">
      <cdr:nvSpPr>
        <cdr:cNvPr id="10241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67614" y="1300848"/>
          <a:ext cx="96950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</a:p>
      </cdr:txBody>
    </cdr:sp>
  </cdr:relSizeAnchor>
  <cdr:relSizeAnchor xmlns:cdr="http://schemas.openxmlformats.org/drawingml/2006/chartDrawing">
    <cdr:from>
      <cdr:x>0.35118</cdr:x>
      <cdr:y>0.12735</cdr:y>
    </cdr:from>
    <cdr:to>
      <cdr:x>0.38764</cdr:x>
      <cdr:y>0.21059</cdr:y>
    </cdr:to>
    <cdr:sp macro="" textlink="">
      <cdr:nvSpPr>
        <cdr:cNvPr id="10242" name="Text Box 307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08047" y="276447"/>
          <a:ext cx="104644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  <a:endParaRPr lang="ja-JP" altLang="en-US" sz="1100" b="0" i="1" u="none" strike="noStrike" baseline="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0.25719</cdr:x>
      <cdr:y>0.23809</cdr:y>
    </cdr:from>
    <cdr:to>
      <cdr:x>0.35503</cdr:x>
      <cdr:y>0.34208</cdr:y>
    </cdr:to>
    <cdr:sp macro="" textlink="">
      <cdr:nvSpPr>
        <cdr:cNvPr id="10243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761928" y="523874"/>
          <a:ext cx="285821" cy="22669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0.46905</cdr:x>
      <cdr:y>0.20707</cdr:y>
    </cdr:from>
    <cdr:to>
      <cdr:x>0.52105</cdr:x>
      <cdr:y>0.29031</cdr:y>
    </cdr:to>
    <cdr:sp macro="" textlink="">
      <cdr:nvSpPr>
        <cdr:cNvPr id="10244" name="Text Box 307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46371" y="449488"/>
          <a:ext cx="149272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ja-JP" altLang="en-US" sz="1100" b="0" i="0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1</a:t>
          </a:r>
        </a:p>
      </cdr:txBody>
    </cdr:sp>
  </cdr:relSizeAnchor>
  <cdr:relSizeAnchor xmlns:cdr="http://schemas.openxmlformats.org/drawingml/2006/chartDrawing">
    <cdr:from>
      <cdr:x>0.47214</cdr:x>
      <cdr:y>0.31217</cdr:y>
    </cdr:from>
    <cdr:to>
      <cdr:x>0.49167</cdr:x>
      <cdr:y>0.41831</cdr:y>
    </cdr:to>
    <cdr:sp macro="" textlink="">
      <cdr:nvSpPr>
        <cdr:cNvPr id="10245" name="Line 307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1391041" y="685800"/>
          <a:ext cx="56760" cy="22989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0.41676</cdr:x>
      <cdr:y>0.48819</cdr:y>
    </cdr:from>
    <cdr:to>
      <cdr:x>0.50809</cdr:x>
      <cdr:y>0.63775</cdr:y>
    </cdr:to>
    <cdr:sp macro="" textlink="">
      <cdr:nvSpPr>
        <cdr:cNvPr id="10246" name="Line 307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228725" y="1066799"/>
          <a:ext cx="266699" cy="32385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0.19502</cdr:x>
      <cdr:y>0.45427</cdr:y>
    </cdr:from>
    <cdr:to>
      <cdr:x>0.32914</cdr:x>
      <cdr:y>0.68175</cdr:y>
    </cdr:to>
    <cdr:sp macro="" textlink="">
      <cdr:nvSpPr>
        <cdr:cNvPr id="10247" name="Line 307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579655" y="993224"/>
          <a:ext cx="391894" cy="49267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0.1267</cdr:x>
      <cdr:y>0.45427</cdr:y>
    </cdr:from>
    <cdr:to>
      <cdr:x>0.19178</cdr:x>
      <cdr:y>0.45427</cdr:y>
    </cdr:to>
    <cdr:sp macro="" textlink="">
      <cdr:nvSpPr>
        <cdr:cNvPr id="10248" name="Line 308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380008" y="993224"/>
          <a:ext cx="19012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none" w="lg" len="lg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0.32921</cdr:x>
      <cdr:y>0.63649</cdr:y>
    </cdr:from>
    <cdr:to>
      <cdr:x>0.40672</cdr:x>
      <cdr:y>0.71973</cdr:y>
    </cdr:to>
    <cdr:sp macro="" textlink="">
      <cdr:nvSpPr>
        <cdr:cNvPr id="10249" name="Text Box 308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44958" y="1381631"/>
          <a:ext cx="222497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ja-JP" altLang="en-US" sz="1100" b="0" i="1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set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73"/>
  <sheetViews>
    <sheetView tabSelected="1" workbookViewId="0">
      <selection activeCell="I48" sqref="I48"/>
    </sheetView>
  </sheetViews>
  <sheetFormatPr defaultColWidth="12" defaultRowHeight="11.9" x14ac:dyDescent="0.15"/>
  <cols>
    <col min="1" max="1" width="15.140625" style="3" customWidth="1"/>
    <col min="2" max="2" width="11.140625" style="1" customWidth="1"/>
    <col min="3" max="3" width="11.7109375" style="1" customWidth="1"/>
    <col min="4" max="4" width="10.7109375" style="1" customWidth="1"/>
    <col min="5" max="5" width="3" style="1" customWidth="1"/>
    <col min="6" max="6" width="8.140625" style="1" customWidth="1"/>
    <col min="7" max="7" width="6.7109375" style="1" customWidth="1"/>
    <col min="8" max="16384" width="12" style="1"/>
  </cols>
  <sheetData>
    <row r="1" spans="1:9" ht="12.55" thickBot="1" x14ac:dyDescent="0.2">
      <c r="A1" s="3" t="s">
        <v>1</v>
      </c>
      <c r="B1" s="9">
        <v>3</v>
      </c>
      <c r="F1" s="1" t="s">
        <v>2</v>
      </c>
    </row>
    <row r="2" spans="1:9" x14ac:dyDescent="0.15">
      <c r="A2" s="3" t="s">
        <v>11</v>
      </c>
      <c r="B2" s="1" t="s">
        <v>12</v>
      </c>
      <c r="C2" s="1" t="s">
        <v>13</v>
      </c>
      <c r="D2" s="1" t="s">
        <v>23</v>
      </c>
      <c r="F2" s="11" t="s">
        <v>19</v>
      </c>
      <c r="G2" s="13">
        <v>50</v>
      </c>
      <c r="I2" s="24"/>
    </row>
    <row r="3" spans="1:9" x14ac:dyDescent="0.15">
      <c r="A3" s="3">
        <v>248</v>
      </c>
      <c r="B3" s="1">
        <v>30.123366663630531</v>
      </c>
      <c r="C3" s="1">
        <v>30.297403819447769</v>
      </c>
      <c r="D3" s="1">
        <v>29.992032404853276</v>
      </c>
      <c r="F3" s="11" t="s">
        <v>5</v>
      </c>
      <c r="G3" s="13">
        <v>1</v>
      </c>
    </row>
    <row r="4" spans="1:9" ht="12.55" thickBot="1" x14ac:dyDescent="0.2">
      <c r="B4" s="15" t="s">
        <v>14</v>
      </c>
      <c r="C4" s="15" t="s">
        <v>15</v>
      </c>
      <c r="D4" s="15" t="s">
        <v>24</v>
      </c>
      <c r="E4" s="15"/>
      <c r="F4" s="11" t="s">
        <v>6</v>
      </c>
      <c r="G4" s="1">
        <v>50</v>
      </c>
    </row>
    <row r="5" spans="1:9" ht="12.55" thickBot="1" x14ac:dyDescent="0.2">
      <c r="A5" s="3" t="s">
        <v>3</v>
      </c>
      <c r="B5" s="12">
        <f>(1/G2)*D3-(1/G2/G3)*B3</f>
        <v>-2.626685175545096E-3</v>
      </c>
      <c r="C5" s="14">
        <f>(1/G4/G3)*B3-(1/G4/G6)*C3</f>
        <v>-3.480743116344831E-3</v>
      </c>
      <c r="D5" s="14">
        <f>-G9*C5+(G9/G10)*(G8-C3)-G9*G11*((1/G4/G3)*B5-(1/G4/G6)*C5)</f>
        <v>3.3016349109448871E-4</v>
      </c>
      <c r="E5" s="8"/>
    </row>
    <row r="6" spans="1:9" ht="12.55" thickBot="1" x14ac:dyDescent="0.2">
      <c r="F6" s="11" t="s">
        <v>7</v>
      </c>
      <c r="G6" s="1">
        <v>1</v>
      </c>
    </row>
    <row r="7" spans="1:9" x14ac:dyDescent="0.15">
      <c r="A7" s="3" t="s">
        <v>20</v>
      </c>
      <c r="B7" s="5">
        <v>0</v>
      </c>
      <c r="F7" s="11" t="s">
        <v>26</v>
      </c>
      <c r="G7" s="13">
        <v>20</v>
      </c>
    </row>
    <row r="8" spans="1:9" x14ac:dyDescent="0.15">
      <c r="A8" s="4" t="s">
        <v>0</v>
      </c>
      <c r="B8" s="6">
        <v>250</v>
      </c>
      <c r="F8" s="11" t="s">
        <v>8</v>
      </c>
      <c r="G8" s="1">
        <v>30</v>
      </c>
    </row>
    <row r="9" spans="1:9" ht="12.55" thickBot="1" x14ac:dyDescent="0.2">
      <c r="A9" s="3" t="s">
        <v>22</v>
      </c>
      <c r="B9" s="7">
        <v>4</v>
      </c>
      <c r="F9" s="11" t="s">
        <v>9</v>
      </c>
      <c r="G9" s="13">
        <v>2</v>
      </c>
    </row>
    <row r="10" spans="1:9" x14ac:dyDescent="0.15">
      <c r="A10" s="3" t="s">
        <v>4</v>
      </c>
      <c r="F10" s="11" t="s">
        <v>10</v>
      </c>
      <c r="G10" s="1">
        <v>100</v>
      </c>
    </row>
    <row r="11" spans="1:9" ht="12.55" thickBot="1" x14ac:dyDescent="0.2">
      <c r="A11" s="3" t="s">
        <v>16</v>
      </c>
      <c r="B11" s="19" t="s">
        <v>17</v>
      </c>
      <c r="C11" s="19" t="s">
        <v>18</v>
      </c>
      <c r="D11" s="19" t="s">
        <v>25</v>
      </c>
      <c r="E11" s="19"/>
      <c r="F11" s="11" t="s">
        <v>21</v>
      </c>
      <c r="G11" s="1">
        <v>20</v>
      </c>
    </row>
    <row r="12" spans="1:9" ht="12.55" thickBot="1" x14ac:dyDescent="0.2">
      <c r="A12" s="13">
        <v>0</v>
      </c>
      <c r="B12" s="21">
        <v>20</v>
      </c>
      <c r="C12" s="23">
        <v>20</v>
      </c>
      <c r="D12" s="23">
        <v>40</v>
      </c>
      <c r="E12" s="16"/>
      <c r="F12" s="11"/>
    </row>
    <row r="13" spans="1:9" x14ac:dyDescent="0.15">
      <c r="A13" s="13">
        <v>4</v>
      </c>
      <c r="B13" s="22">
        <v>21.518735633066665</v>
      </c>
      <c r="C13" s="22">
        <v>20.060192085333334</v>
      </c>
      <c r="D13" s="22">
        <v>39.511152831146667</v>
      </c>
      <c r="E13" s="17"/>
      <c r="F13" s="20"/>
    </row>
    <row r="14" spans="1:9" x14ac:dyDescent="0.15">
      <c r="A14" s="13">
        <v>8</v>
      </c>
      <c r="B14" s="22">
        <v>22.882585191786472</v>
      </c>
      <c r="C14" s="22">
        <v>20.226415776692029</v>
      </c>
      <c r="D14" s="22">
        <v>39.009780671484485</v>
      </c>
      <c r="E14" s="17"/>
      <c r="F14" s="20"/>
    </row>
    <row r="15" spans="1:9" x14ac:dyDescent="0.15">
      <c r="A15" s="13">
        <v>12</v>
      </c>
      <c r="B15" s="22">
        <v>24.102769360618748</v>
      </c>
      <c r="C15" s="22">
        <v>20.479050084510764</v>
      </c>
      <c r="D15" s="22">
        <v>38.502770928095224</v>
      </c>
      <c r="E15" s="17"/>
      <c r="F15" s="20"/>
    </row>
    <row r="16" spans="1:9" x14ac:dyDescent="0.15">
      <c r="A16" s="13">
        <v>16</v>
      </c>
      <c r="B16" s="22">
        <v>25.190133839314484</v>
      </c>
      <c r="C16" s="22">
        <v>20.800830981819118</v>
      </c>
      <c r="D16" s="22">
        <v>37.99595658445115</v>
      </c>
      <c r="E16" s="17"/>
      <c r="F16" s="20"/>
    </row>
    <row r="17" spans="1:7" x14ac:dyDescent="0.15">
      <c r="A17" s="13">
        <v>20</v>
      </c>
      <c r="B17" s="22">
        <v>26.155101550684865</v>
      </c>
      <c r="C17" s="22">
        <v>21.176639418037297</v>
      </c>
      <c r="D17" s="22">
        <v>37.494228827564982</v>
      </c>
      <c r="E17" s="17"/>
      <c r="F17" s="20"/>
    </row>
    <row r="18" spans="1:7" x14ac:dyDescent="0.15">
      <c r="A18" s="13">
        <v>24</v>
      </c>
      <c r="B18" s="22">
        <v>27.007636833722785</v>
      </c>
      <c r="C18" s="22">
        <v>21.593302434198151</v>
      </c>
      <c r="D18" s="22">
        <v>37.00164079940442</v>
      </c>
      <c r="E18" s="17"/>
      <c r="F18" s="20"/>
    </row>
    <row r="19" spans="1:7" x14ac:dyDescent="0.15">
      <c r="A19" s="13">
        <v>28</v>
      </c>
      <c r="B19" s="22">
        <v>27.757220033874297</v>
      </c>
      <c r="C19" s="22">
        <v>22.03940723089649</v>
      </c>
      <c r="D19" s="22">
        <v>36.521502878637136</v>
      </c>
      <c r="E19" s="17"/>
      <c r="F19" s="2"/>
    </row>
    <row r="20" spans="1:7" x14ac:dyDescent="0.15">
      <c r="A20" s="13">
        <v>32</v>
      </c>
      <c r="B20" s="22">
        <v>28.412831056352797</v>
      </c>
      <c r="C20" s="22">
        <v>22.505127935664628</v>
      </c>
      <c r="D20" s="22">
        <v>36.056469917235823</v>
      </c>
      <c r="E20" s="17"/>
      <c r="F20" s="2"/>
    </row>
    <row r="21" spans="1:7" x14ac:dyDescent="0.15">
      <c r="A21" s="13">
        <v>36</v>
      </c>
      <c r="B21" s="22">
        <v>28.982940591768422</v>
      </c>
      <c r="C21" s="22">
        <v>22.982064731341481</v>
      </c>
      <c r="D21" s="22">
        <v>35.608620867718479</v>
      </c>
      <c r="E21" s="17"/>
      <c r="F21" s="2"/>
    </row>
    <row r="22" spans="1:7" x14ac:dyDescent="0.15">
      <c r="A22" s="13">
        <v>40</v>
      </c>
      <c r="B22" s="22">
        <v>29.47550785631957</v>
      </c>
      <c r="C22" s="22">
        <v>23.463094939032235</v>
      </c>
      <c r="D22" s="22">
        <v>35.17953124188476</v>
      </c>
      <c r="E22" s="17"/>
      <c r="F22" s="2"/>
    </row>
    <row r="23" spans="1:7" x14ac:dyDescent="0.15">
      <c r="A23" s="13">
        <v>44</v>
      </c>
      <c r="B23" s="22">
        <v>29.89798381172637</v>
      </c>
      <c r="C23" s="22">
        <v>23.942235596340982</v>
      </c>
      <c r="D23" s="22">
        <v>34.770338841783023</v>
      </c>
      <c r="E23" s="17"/>
      <c r="F23" s="2"/>
    </row>
    <row r="24" spans="1:7" x14ac:dyDescent="0.15">
      <c r="A24" s="13">
        <v>48</v>
      </c>
      <c r="B24" s="22">
        <v>30.257318943382582</v>
      </c>
      <c r="C24" s="22">
        <v>24.414517031785831</v>
      </c>
      <c r="D24" s="22">
        <v>34.381803199150916</v>
      </c>
      <c r="E24" s="17"/>
      <c r="F24" s="2"/>
    </row>
    <row r="25" spans="1:7" x14ac:dyDescent="0.15">
      <c r="A25" s="13">
        <v>52</v>
      </c>
      <c r="B25" s="22">
        <v>30.559974779297693</v>
      </c>
      <c r="C25" s="22">
        <v>24.875866907940349</v>
      </c>
      <c r="D25" s="22">
        <v>34.014359151467609</v>
      </c>
      <c r="E25" s="17"/>
      <c r="F25" s="2"/>
    </row>
    <row r="26" spans="1:7" x14ac:dyDescent="0.15">
      <c r="A26" s="13">
        <v>56</v>
      </c>
      <c r="B26" s="22">
        <v>30.811938427751119</v>
      </c>
      <c r="C26" s="22">
        <v>25.323004187320041</v>
      </c>
      <c r="D26" s="22">
        <v>33.668164971704059</v>
      </c>
      <c r="E26" s="17"/>
      <c r="F26" s="2"/>
    </row>
    <row r="27" spans="1:7" x14ac:dyDescent="0.15">
      <c r="A27" s="13">
        <v>60</v>
      </c>
      <c r="B27" s="22">
        <v>31.0187394986546</v>
      </c>
      <c r="C27" s="22">
        <v>25.753342464937091</v>
      </c>
      <c r="D27" s="22">
        <v>33.343145455447214</v>
      </c>
      <c r="E27" s="17"/>
      <c r="F27" s="2"/>
      <c r="G27"/>
    </row>
    <row r="28" spans="1:7" x14ac:dyDescent="0.15">
      <c r="A28" s="13">
        <v>64</v>
      </c>
      <c r="B28" s="22">
        <v>31.18546885289247</v>
      </c>
      <c r="C28" s="22">
        <v>26.164902108514909</v>
      </c>
      <c r="D28" s="22">
        <v>33.039030353820493</v>
      </c>
      <c r="E28" s="17"/>
      <c r="F28" s="2"/>
    </row>
    <row r="29" spans="1:7" x14ac:dyDescent="0.15">
      <c r="A29" s="13">
        <v>68</v>
      </c>
      <c r="B29" s="22">
        <v>31.316798695858648</v>
      </c>
      <c r="C29" s="22">
        <v>26.556230650454388</v>
      </c>
      <c r="D29" s="22">
        <v>32.755388523976691</v>
      </c>
      <c r="E29" s="17"/>
      <c r="F29" s="2"/>
    </row>
    <row r="30" spans="1:7" x14ac:dyDescent="0.15">
      <c r="A30" s="13">
        <v>72</v>
      </c>
      <c r="B30" s="22">
        <v>31.417003596505353</v>
      </c>
      <c r="C30" s="22">
        <v>26.926330883767303</v>
      </c>
      <c r="D30" s="22">
        <v>32.491658151292192</v>
      </c>
      <c r="E30" s="17"/>
      <c r="F30" s="2"/>
    </row>
    <row r="31" spans="1:7" x14ac:dyDescent="0.15">
      <c r="A31" s="13">
        <v>76</v>
      </c>
      <c r="B31" s="22">
        <v>31.4899820719254</v>
      </c>
      <c r="C31" s="22">
        <v>27.274596126444408</v>
      </c>
      <c r="D31" s="22">
        <v>32.24717337908119</v>
      </c>
      <c r="E31" s="17"/>
      <c r="F31" s="2"/>
    </row>
    <row r="32" spans="1:7" x14ac:dyDescent="0.15">
      <c r="A32" s="13">
        <v>80</v>
      </c>
      <c r="B32" s="22">
        <v>31.539278430259046</v>
      </c>
      <c r="C32" s="22">
        <v>27.600752134315357</v>
      </c>
      <c r="D32" s="22">
        <v>32.0211876629645</v>
      </c>
      <c r="E32" s="17"/>
      <c r="F32" s="2"/>
    </row>
    <row r="33" spans="1:6" x14ac:dyDescent="0.15">
      <c r="A33" s="13">
        <v>84</v>
      </c>
      <c r="B33" s="22">
        <v>31.568104611985515</v>
      </c>
      <c r="C33" s="22">
        <v>27.904805160688504</v>
      </c>
      <c r="D33" s="22">
        <v>31.812894148216905</v>
      </c>
      <c r="E33" s="17"/>
      <c r="F33" s="2"/>
    </row>
    <row r="34" spans="1:6" x14ac:dyDescent="0.15">
      <c r="A34" s="13">
        <v>88</v>
      </c>
      <c r="B34" s="22">
        <v>31.579361811850035</v>
      </c>
      <c r="C34" s="22">
        <v>28.186995681321815</v>
      </c>
      <c r="D34" s="22">
        <v>31.621443349686789</v>
      </c>
      <c r="E34" s="10"/>
    </row>
    <row r="35" spans="1:6" x14ac:dyDescent="0.15">
      <c r="A35" s="13">
        <v>92</v>
      </c>
      <c r="B35" s="22">
        <v>31.575661701192882</v>
      </c>
      <c r="C35" s="22">
        <v>28.447757325040453</v>
      </c>
      <c r="D35" s="22">
        <v>31.445958395405864</v>
      </c>
      <c r="E35" s="10"/>
    </row>
    <row r="36" spans="1:6" x14ac:dyDescent="0.15">
      <c r="A36" s="13">
        <v>96</v>
      </c>
      <c r="B36" s="22">
        <v>31.559347103672415</v>
      </c>
      <c r="C36" s="22">
        <v>28.687680573122403</v>
      </c>
      <c r="D36" s="22">
        <v>31.285548076927498</v>
      </c>
      <c r="E36" s="10"/>
    </row>
    <row r="37" spans="1:6" x14ac:dyDescent="0.15">
      <c r="A37" s="13">
        <v>100</v>
      </c>
      <c r="B37" s="22">
        <v>31.532512006674427</v>
      </c>
      <c r="C37" s="22">
        <v>28.907480814025263</v>
      </c>
      <c r="D37" s="22">
        <v>31.139317931865197</v>
      </c>
      <c r="E37" s="10"/>
    </row>
    <row r="38" spans="1:6" x14ac:dyDescent="0.15">
      <c r="A38" s="13">
        <v>104</v>
      </c>
      <c r="B38" s="22">
        <v>31.497020816420079</v>
      </c>
      <c r="C38" s="22">
        <v>29.107970363787143</v>
      </c>
      <c r="D38" s="22">
        <v>31.006379567139895</v>
      </c>
      <c r="E38" s="10"/>
    </row>
    <row r="39" spans="1:6" x14ac:dyDescent="0.15">
      <c r="A39" s="13">
        <v>108</v>
      </c>
      <c r="B39" s="22">
        <v>31.454526787248927</v>
      </c>
      <c r="C39" s="22">
        <v>29.290034086216234</v>
      </c>
      <c r="D39" s="22">
        <v>30.885858415156733</v>
      </c>
      <c r="E39" s="10"/>
    </row>
    <row r="40" spans="1:6" x14ac:dyDescent="0.15">
      <c r="A40" s="13">
        <v>112</v>
      </c>
      <c r="B40" s="22">
        <v>31.406489575066505</v>
      </c>
      <c r="C40" s="22">
        <v>29.454608270547165</v>
      </c>
      <c r="D40" s="22">
        <v>30.776900099571609</v>
      </c>
      <c r="E40" s="10"/>
    </row>
    <row r="41" spans="1:6" x14ac:dyDescent="0.15">
      <c r="A41" s="13">
        <v>116</v>
      </c>
      <c r="B41" s="22">
        <v>31.354191881791824</v>
      </c>
      <c r="C41" s="22">
        <v>29.602662447388639</v>
      </c>
      <c r="D41" s="22">
        <v>30.678675572511942</v>
      </c>
      <c r="E41" s="10"/>
    </row>
    <row r="42" spans="1:6" x14ac:dyDescent="0.15">
      <c r="A42" s="13">
        <v>120</v>
      </c>
      <c r="B42" s="22">
        <v>31.29875517208389</v>
      </c>
      <c r="C42" s="22">
        <v>29.73518384635371</v>
      </c>
      <c r="D42" s="22">
        <v>30.590385171107833</v>
      </c>
      <c r="E42" s="10"/>
    </row>
    <row r="43" spans="1:6" x14ac:dyDescent="0.15">
      <c r="A43" s="13">
        <v>124</v>
      </c>
      <c r="B43" s="22">
        <v>31.241154455913804</v>
      </c>
      <c r="C43" s="22">
        <v>29.853164220620844</v>
      </c>
      <c r="D43" s="22">
        <v>30.511261727981253</v>
      </c>
      <c r="E43" s="10"/>
    </row>
    <row r="44" spans="1:6" x14ac:dyDescent="0.15">
      <c r="A44" s="13">
        <v>128</v>
      </c>
      <c r="B44" s="22">
        <v>31.18223214090726</v>
      </c>
      <c r="C44" s="22">
        <v>29.9575887847183</v>
      </c>
      <c r="D44" s="22">
        <v>30.440572857933351</v>
      </c>
      <c r="E44" s="10"/>
    </row>
    <row r="45" spans="1:6" x14ac:dyDescent="0.15">
      <c r="A45" s="13">
        <v>132</v>
      </c>
      <c r="B45" s="22">
        <v>31.122710967021476</v>
      </c>
      <c r="C45" s="22">
        <v>30.049427031979153</v>
      </c>
      <c r="D45" s="22">
        <v>30.377622531457529</v>
      </c>
      <c r="E45" s="10"/>
    </row>
    <row r="46" spans="1:6" x14ac:dyDescent="0.15">
      <c r="A46" s="13">
        <v>136</v>
      </c>
      <c r="B46" s="22">
        <v>31.063206043233109</v>
      </c>
      <c r="C46" s="22">
        <v>30.12962521732279</v>
      </c>
      <c r="D46" s="22">
        <v>30.321752034874798</v>
      </c>
      <c r="E46" s="10"/>
    </row>
    <row r="47" spans="1:6" x14ac:dyDescent="0.15">
      <c r="A47" s="13">
        <v>140</v>
      </c>
      <c r="B47" s="22">
        <v>31.004236011676653</v>
      </c>
      <c r="C47" s="22">
        <v>30.199100309243789</v>
      </c>
      <c r="D47" s="22">
        <v>30.272340406819623</v>
      </c>
      <c r="E47" s="10"/>
    </row>
    <row r="48" spans="1:6" x14ac:dyDescent="0.15">
      <c r="A48" s="13">
        <v>144</v>
      </c>
      <c r="B48" s="22">
        <v>30.946233369247462</v>
      </c>
      <c r="C48" s="22">
        <v>30.258735232108602</v>
      </c>
      <c r="D48" s="22">
        <v>30.228804431475183</v>
      </c>
      <c r="E48" s="10"/>
    </row>
    <row r="49" spans="1:5" x14ac:dyDescent="0.15">
      <c r="A49" s="13">
        <v>148</v>
      </c>
      <c r="B49" s="22">
        <v>30.889553980217158</v>
      </c>
      <c r="C49" s="22">
        <v>30.309375236066462</v>
      </c>
      <c r="D49" s="22">
        <v>30.190598260339929</v>
      </c>
      <c r="E49" s="10"/>
    </row>
    <row r="50" spans="1:5" x14ac:dyDescent="0.15">
      <c r="A50" s="13">
        <v>152</v>
      </c>
      <c r="B50" s="22">
        <v>30.834485816035425</v>
      </c>
      <c r="C50" s="22">
        <v>30.351825247076359</v>
      </c>
      <c r="D50" s="22">
        <v>30.157212726372784</v>
      </c>
      <c r="E50" s="10"/>
    </row>
    <row r="51" spans="1:5" x14ac:dyDescent="0.15">
      <c r="A51" s="13">
        <v>156</v>
      </c>
      <c r="B51" s="22">
        <v>30.781256960332001</v>
      </c>
      <c r="C51" s="22">
        <v>30.386848063749714</v>
      </c>
      <c r="D51" s="22">
        <v>30.128174407080479</v>
      </c>
      <c r="E51" s="10"/>
    </row>
    <row r="52" spans="1:5" x14ac:dyDescent="0.15">
      <c r="A52" s="13">
        <v>160</v>
      </c>
      <c r="B52" s="22">
        <v>30.730042918295297</v>
      </c>
      <c r="C52" s="22">
        <v>30.415163280928944</v>
      </c>
      <c r="D52" s="22">
        <v>30.103044486444549</v>
      </c>
      <c r="E52" s="10"/>
    </row>
    <row r="53" spans="1:5" x14ac:dyDescent="0.15">
      <c r="A53" s="13">
        <v>164</v>
      </c>
      <c r="B53" s="22">
        <v>30.680973270187813</v>
      </c>
      <c r="C53" s="22">
        <v>30.437446832192435</v>
      </c>
      <c r="D53" s="22">
        <v>30.081417459503442</v>
      </c>
      <c r="E53" s="10"/>
    </row>
    <row r="54" spans="1:5" x14ac:dyDescent="0.15">
      <c r="A54" s="13">
        <v>168</v>
      </c>
      <c r="B54" s="22">
        <v>30.634137708851377</v>
      </c>
      <c r="C54" s="22">
        <v>30.454331054828728</v>
      </c>
      <c r="D54" s="22">
        <v>30.062919717872866</v>
      </c>
      <c r="E54" s="10"/>
    </row>
    <row r="55" spans="1:5" x14ac:dyDescent="0.15">
      <c r="A55" s="13">
        <v>172</v>
      </c>
      <c r="B55" s="22">
        <v>30.589591500735914</v>
      </c>
      <c r="C55" s="22">
        <v>30.466405191292601</v>
      </c>
      <c r="D55" s="22">
        <v>30.047208049471088</v>
      </c>
      <c r="E55" s="10"/>
    </row>
    <row r="56" spans="1:5" x14ac:dyDescent="0.15">
      <c r="A56" s="13">
        <v>176</v>
      </c>
      <c r="B56" s="22">
        <v>30.547360409324014</v>
      </c>
      <c r="C56" s="22">
        <v>30.474216250782614</v>
      </c>
      <c r="D56" s="22">
        <v>30.033968081181282</v>
      </c>
      <c r="E56" s="10"/>
    </row>
    <row r="57" spans="1:5" x14ac:dyDescent="0.15">
      <c r="A57" s="13">
        <v>180</v>
      </c>
      <c r="B57" s="22">
        <v>30.507445118881975</v>
      </c>
      <c r="C57" s="22">
        <v>30.478270163403995</v>
      </c>
      <c r="D57" s="22">
        <v>30.022912689097648</v>
      </c>
      <c r="E57" s="10"/>
    </row>
    <row r="58" spans="1:5" x14ac:dyDescent="0.15">
      <c r="A58" s="13">
        <v>184</v>
      </c>
      <c r="B58" s="22">
        <v>30.469825195301279</v>
      </c>
      <c r="C58" s="22">
        <v>30.479033167445365</v>
      </c>
      <c r="D58" s="22">
        <v>30.013780397333409</v>
      </c>
      <c r="E58" s="10"/>
    </row>
    <row r="59" spans="1:5" x14ac:dyDescent="0.15">
      <c r="A59" s="13">
        <v>188</v>
      </c>
      <c r="B59" s="22">
        <v>30.434462619450475</v>
      </c>
      <c r="C59" s="22">
        <v>30.47693337764531</v>
      </c>
      <c r="D59" s="22">
        <v>30.006333783086035</v>
      </c>
      <c r="E59" s="10"/>
    </row>
    <row r="60" spans="1:5" x14ac:dyDescent="0.15">
      <c r="A60" s="13">
        <v>192</v>
      </c>
      <c r="B60" s="22">
        <v>30.40130492697849</v>
      </c>
      <c r="C60" s="22">
        <v>30.472362488998634</v>
      </c>
      <c r="D60" s="22">
        <v>30.000357902728183</v>
      </c>
      <c r="E60" s="10"/>
    </row>
    <row r="61" spans="1:5" x14ac:dyDescent="0.15">
      <c r="A61" s="13">
        <v>196</v>
      </c>
      <c r="B61" s="22">
        <v>30.370287986933121</v>
      </c>
      <c r="C61" s="22">
        <v>30.465677576695192</v>
      </c>
      <c r="D61" s="22">
        <v>29.995658751093444</v>
      </c>
      <c r="E61" s="10"/>
    </row>
    <row r="62" spans="1:5" x14ac:dyDescent="0.15">
      <c r="A62" s="13">
        <v>200</v>
      </c>
      <c r="B62" s="22">
        <v>30.341338449914375</v>
      </c>
      <c r="C62" s="22">
        <v>30.457202958238362</v>
      </c>
      <c r="D62" s="22">
        <v>29.99206176382657</v>
      </c>
      <c r="E62" s="10"/>
    </row>
    <row r="63" spans="1:5" x14ac:dyDescent="0.15">
      <c r="A63" s="13">
        <v>204</v>
      </c>
      <c r="B63" s="22">
        <v>30.314375894798701</v>
      </c>
      <c r="C63" s="22">
        <v>30.447232088697174</v>
      </c>
      <c r="D63" s="22">
        <v>29.989410370643043</v>
      </c>
    </row>
    <row r="64" spans="1:5" x14ac:dyDescent="0.15">
      <c r="A64" s="13">
        <v>208</v>
      </c>
      <c r="B64" s="22">
        <v>30.289314701370341</v>
      </c>
      <c r="C64" s="22">
        <v>30.436029464445472</v>
      </c>
      <c r="D64" s="22">
        <v>29.987564605567925</v>
      </c>
    </row>
    <row r="65" spans="1:4" x14ac:dyDescent="0.15">
      <c r="A65" s="13">
        <v>212</v>
      </c>
      <c r="B65" s="22">
        <v>30.266065674499199</v>
      </c>
      <c r="C65" s="22">
        <v>30.423832514671911</v>
      </c>
      <c r="D65" s="22">
        <v>29.986399778676233</v>
      </c>
    </row>
    <row r="66" spans="1:4" x14ac:dyDescent="0.15">
      <c r="A66" s="13">
        <v>216</v>
      </c>
      <c r="B66" s="22">
        <v>30.24453744382761</v>
      </c>
      <c r="C66" s="22">
        <v>30.410853463443132</v>
      </c>
      <c r="D66" s="22">
        <v>29.985805212515235</v>
      </c>
    </row>
    <row r="67" spans="1:4" x14ac:dyDescent="0.15">
      <c r="A67" s="13">
        <v>220</v>
      </c>
      <c r="B67" s="22">
        <v>30.224637661284422</v>
      </c>
      <c r="C67" s="22">
        <v>30.397281148204197</v>
      </c>
      <c r="D67" s="22">
        <v>29.985683045232843</v>
      </c>
    </row>
    <row r="68" spans="1:4" x14ac:dyDescent="0.15">
      <c r="A68" s="13">
        <v>224</v>
      </c>
      <c r="B68" s="22">
        <v>30.206274017144921</v>
      </c>
      <c r="C68" s="22">
        <v>30.383282783338945</v>
      </c>
      <c r="D68" s="22">
        <v>29.985947101447298</v>
      </c>
    </row>
    <row r="69" spans="1:4" x14ac:dyDescent="0.15">
      <c r="A69" s="13">
        <v>228</v>
      </c>
      <c r="B69" s="22">
        <v>30.189355093808253</v>
      </c>
      <c r="C69" s="22">
        <v>30.369005659819983</v>
      </c>
      <c r="D69" s="22">
        <v>29.986521831054251</v>
      </c>
    </row>
    <row r="70" spans="1:4" x14ac:dyDescent="0.15">
      <c r="A70" s="13">
        <v>232</v>
      </c>
      <c r="B70" s="22">
        <v>30.173791074976815</v>
      </c>
      <c r="C70" s="22">
        <v>30.354578774083311</v>
      </c>
      <c r="D70" s="22">
        <v>29.987341315462213</v>
      </c>
    </row>
    <row r="71" spans="1:4" x14ac:dyDescent="0.15">
      <c r="A71" s="13">
        <v>236</v>
      </c>
      <c r="B71" s="22">
        <v>30.15949432649969</v>
      </c>
      <c r="C71" s="22">
        <v>30.340114381094228</v>
      </c>
      <c r="D71" s="22">
        <v>29.988348340161433</v>
      </c>
    </row>
    <row r="72" spans="1:4" x14ac:dyDescent="0.15">
      <c r="A72" s="13">
        <v>240</v>
      </c>
      <c r="B72" s="22">
        <v>30.146379863788468</v>
      </c>
      <c r="C72" s="22">
        <v>30.32570946815521</v>
      </c>
      <c r="D72" s="22">
        <v>29.989493532051185</v>
      </c>
    </row>
    <row r="73" spans="1:4" x14ac:dyDescent="0.15">
      <c r="A73" s="13">
        <v>244</v>
      </c>
      <c r="B73" s="22">
        <v>30.134365719430829</v>
      </c>
      <c r="C73" s="22">
        <v>30.311447147367492</v>
      </c>
      <c r="D73" s="22">
        <v>29.990734559563688</v>
      </c>
    </row>
    <row r="74" spans="1:4" x14ac:dyDescent="0.15">
      <c r="A74" s="13">
        <v>248</v>
      </c>
      <c r="B74" s="22">
        <v>30.123373223416525</v>
      </c>
      <c r="C74" s="22">
        <v>30.297397965818497</v>
      </c>
      <c r="D74" s="22">
        <v>29.992035393318282</v>
      </c>
    </row>
    <row r="75" spans="1:4" x14ac:dyDescent="0.15">
      <c r="A75" s="13"/>
      <c r="B75" s="22"/>
      <c r="C75" s="22"/>
      <c r="D75" s="22"/>
    </row>
    <row r="76" spans="1:4" x14ac:dyDescent="0.15">
      <c r="A76" s="13"/>
      <c r="B76" s="22"/>
      <c r="C76" s="22"/>
      <c r="D76" s="22"/>
    </row>
    <row r="77" spans="1:4" x14ac:dyDescent="0.15">
      <c r="A77" s="13"/>
      <c r="B77" s="22"/>
      <c r="C77" s="22"/>
      <c r="D77" s="22"/>
    </row>
    <row r="78" spans="1:4" x14ac:dyDescent="0.15">
      <c r="A78" s="13"/>
      <c r="B78" s="22"/>
      <c r="C78" s="22"/>
      <c r="D78" s="22"/>
    </row>
    <row r="79" spans="1:4" x14ac:dyDescent="0.15">
      <c r="A79" s="13"/>
      <c r="B79" s="22"/>
      <c r="C79" s="22"/>
      <c r="D79" s="22"/>
    </row>
    <row r="80" spans="1:4" x14ac:dyDescent="0.15">
      <c r="A80" s="13"/>
      <c r="B80" s="22"/>
      <c r="C80" s="22"/>
      <c r="D80" s="22"/>
    </row>
    <row r="81" spans="1:4" x14ac:dyDescent="0.15">
      <c r="A81" s="13"/>
      <c r="B81" s="22"/>
      <c r="C81" s="22"/>
      <c r="D81" s="22"/>
    </row>
    <row r="82" spans="1:4" x14ac:dyDescent="0.15">
      <c r="A82" s="13"/>
      <c r="B82" s="22"/>
      <c r="C82" s="22"/>
      <c r="D82" s="22"/>
    </row>
    <row r="83" spans="1:4" x14ac:dyDescent="0.15">
      <c r="A83" s="13"/>
      <c r="B83" s="22"/>
      <c r="C83" s="22"/>
      <c r="D83" s="22"/>
    </row>
    <row r="84" spans="1:4" x14ac:dyDescent="0.15">
      <c r="A84" s="13"/>
      <c r="B84" s="22"/>
      <c r="C84" s="22"/>
      <c r="D84" s="22"/>
    </row>
    <row r="85" spans="1:4" x14ac:dyDescent="0.15">
      <c r="A85" s="13"/>
      <c r="B85" s="22"/>
      <c r="C85" s="22"/>
      <c r="D85" s="22"/>
    </row>
    <row r="86" spans="1:4" x14ac:dyDescent="0.15">
      <c r="A86" s="13"/>
      <c r="B86" s="22"/>
      <c r="C86" s="22"/>
      <c r="D86" s="22"/>
    </row>
    <row r="87" spans="1:4" x14ac:dyDescent="0.15">
      <c r="A87" s="13"/>
      <c r="B87" s="22"/>
      <c r="C87" s="22"/>
      <c r="D87" s="22"/>
    </row>
    <row r="88" spans="1:4" x14ac:dyDescent="0.15">
      <c r="A88" s="13"/>
      <c r="B88" s="22"/>
      <c r="C88" s="22"/>
      <c r="D88" s="22"/>
    </row>
    <row r="89" spans="1:4" x14ac:dyDescent="0.15">
      <c r="A89" s="13"/>
      <c r="B89" s="22"/>
      <c r="C89" s="22"/>
      <c r="D89" s="22"/>
    </row>
    <row r="90" spans="1:4" x14ac:dyDescent="0.15">
      <c r="A90" s="13"/>
      <c r="B90" s="22"/>
      <c r="C90" s="22"/>
      <c r="D90" s="22"/>
    </row>
    <row r="91" spans="1:4" x14ac:dyDescent="0.15">
      <c r="A91" s="13"/>
      <c r="B91" s="22"/>
      <c r="C91" s="22"/>
      <c r="D91" s="22"/>
    </row>
    <row r="92" spans="1:4" x14ac:dyDescent="0.15">
      <c r="A92" s="13"/>
      <c r="B92" s="22"/>
      <c r="C92" s="22"/>
      <c r="D92" s="22"/>
    </row>
    <row r="93" spans="1:4" x14ac:dyDescent="0.15">
      <c r="A93" s="13"/>
      <c r="B93" s="22"/>
      <c r="C93" s="22"/>
      <c r="D93" s="22"/>
    </row>
    <row r="94" spans="1:4" x14ac:dyDescent="0.15">
      <c r="A94" s="13"/>
      <c r="B94" s="22"/>
      <c r="C94" s="22"/>
      <c r="D94" s="22"/>
    </row>
    <row r="95" spans="1:4" x14ac:dyDescent="0.15">
      <c r="A95" s="13"/>
      <c r="B95" s="22"/>
      <c r="C95" s="22"/>
      <c r="D95" s="22"/>
    </row>
    <row r="96" spans="1:4" x14ac:dyDescent="0.15">
      <c r="A96" s="13"/>
      <c r="B96" s="22"/>
      <c r="C96" s="22"/>
      <c r="D96" s="22"/>
    </row>
    <row r="97" spans="1:4" x14ac:dyDescent="0.15">
      <c r="A97" s="13"/>
      <c r="B97" s="22"/>
      <c r="C97" s="22"/>
      <c r="D97" s="22"/>
    </row>
    <row r="98" spans="1:4" x14ac:dyDescent="0.15">
      <c r="A98" s="13"/>
      <c r="B98" s="22"/>
      <c r="C98" s="22"/>
      <c r="D98" s="22"/>
    </row>
    <row r="99" spans="1:4" x14ac:dyDescent="0.15">
      <c r="A99" s="13"/>
      <c r="B99" s="22"/>
      <c r="C99" s="22"/>
      <c r="D99" s="22"/>
    </row>
    <row r="100" spans="1:4" x14ac:dyDescent="0.15">
      <c r="A100" s="13"/>
      <c r="B100" s="22"/>
      <c r="C100" s="22"/>
      <c r="D100" s="22"/>
    </row>
    <row r="101" spans="1:4" x14ac:dyDescent="0.15">
      <c r="A101" s="13"/>
      <c r="B101" s="22"/>
      <c r="C101" s="22"/>
      <c r="D101" s="22"/>
    </row>
    <row r="102" spans="1:4" x14ac:dyDescent="0.15">
      <c r="A102" s="13"/>
      <c r="B102" s="22"/>
      <c r="C102" s="22"/>
      <c r="D102" s="22"/>
    </row>
    <row r="103" spans="1:4" x14ac:dyDescent="0.15">
      <c r="A103" s="13"/>
      <c r="B103" s="22"/>
      <c r="C103" s="22"/>
      <c r="D103" s="22"/>
    </row>
    <row r="104" spans="1:4" x14ac:dyDescent="0.15">
      <c r="B104" s="18"/>
      <c r="C104" s="18"/>
      <c r="D104" s="18"/>
    </row>
    <row r="105" spans="1:4" x14ac:dyDescent="0.15">
      <c r="B105" s="18"/>
      <c r="C105" s="18"/>
      <c r="D105" s="18"/>
    </row>
    <row r="106" spans="1:4" x14ac:dyDescent="0.15">
      <c r="B106" s="18"/>
      <c r="C106" s="18"/>
      <c r="D106" s="18"/>
    </row>
    <row r="107" spans="1:4" x14ac:dyDescent="0.15">
      <c r="B107" s="18"/>
      <c r="C107" s="18"/>
      <c r="D107" s="18"/>
    </row>
    <row r="108" spans="1:4" x14ac:dyDescent="0.15">
      <c r="B108" s="18"/>
      <c r="C108" s="18"/>
      <c r="D108" s="18"/>
    </row>
    <row r="109" spans="1:4" x14ac:dyDescent="0.15">
      <c r="B109" s="18"/>
      <c r="C109" s="18"/>
      <c r="D109" s="18"/>
    </row>
    <row r="110" spans="1:4" x14ac:dyDescent="0.15">
      <c r="B110" s="18"/>
      <c r="C110" s="18"/>
      <c r="D110" s="18"/>
    </row>
    <row r="111" spans="1:4" x14ac:dyDescent="0.15">
      <c r="B111" s="18"/>
      <c r="C111" s="18"/>
      <c r="D111" s="18"/>
    </row>
    <row r="112" spans="1:4" x14ac:dyDescent="0.15">
      <c r="B112" s="18"/>
      <c r="C112" s="18"/>
      <c r="D112" s="18"/>
    </row>
    <row r="113" spans="2:4" x14ac:dyDescent="0.15">
      <c r="B113" s="18"/>
      <c r="C113" s="18"/>
      <c r="D113" s="18"/>
    </row>
    <row r="114" spans="2:4" x14ac:dyDescent="0.15">
      <c r="B114" s="18"/>
      <c r="C114" s="18"/>
      <c r="D114" s="18"/>
    </row>
    <row r="115" spans="2:4" x14ac:dyDescent="0.15">
      <c r="B115" s="18"/>
      <c r="C115" s="18"/>
      <c r="D115" s="18"/>
    </row>
    <row r="116" spans="2:4" x14ac:dyDescent="0.15">
      <c r="B116" s="18"/>
      <c r="C116" s="18"/>
      <c r="D116" s="18"/>
    </row>
    <row r="117" spans="2:4" x14ac:dyDescent="0.15">
      <c r="B117" s="18"/>
      <c r="C117" s="18"/>
      <c r="D117" s="18"/>
    </row>
    <row r="118" spans="2:4" x14ac:dyDescent="0.15">
      <c r="B118" s="18"/>
      <c r="C118" s="18"/>
      <c r="D118" s="18"/>
    </row>
    <row r="119" spans="2:4" x14ac:dyDescent="0.15">
      <c r="B119" s="18"/>
      <c r="C119" s="18"/>
      <c r="D119" s="18"/>
    </row>
    <row r="120" spans="2:4" x14ac:dyDescent="0.15">
      <c r="B120" s="18"/>
      <c r="C120" s="18"/>
      <c r="D120" s="18"/>
    </row>
    <row r="121" spans="2:4" x14ac:dyDescent="0.15">
      <c r="B121" s="18"/>
      <c r="C121" s="18"/>
      <c r="D121" s="18"/>
    </row>
    <row r="122" spans="2:4" x14ac:dyDescent="0.15">
      <c r="B122" s="18"/>
      <c r="C122" s="18"/>
      <c r="D122" s="18"/>
    </row>
    <row r="123" spans="2:4" x14ac:dyDescent="0.15">
      <c r="B123" s="18"/>
      <c r="C123" s="18"/>
      <c r="D123" s="18"/>
    </row>
    <row r="124" spans="2:4" x14ac:dyDescent="0.15">
      <c r="B124" s="18"/>
      <c r="C124" s="18"/>
      <c r="D124" s="18"/>
    </row>
    <row r="125" spans="2:4" x14ac:dyDescent="0.15">
      <c r="B125" s="18"/>
      <c r="C125" s="18"/>
      <c r="D125" s="18"/>
    </row>
    <row r="126" spans="2:4" x14ac:dyDescent="0.15">
      <c r="B126" s="18"/>
      <c r="C126" s="18"/>
      <c r="D126" s="18"/>
    </row>
    <row r="127" spans="2:4" x14ac:dyDescent="0.15">
      <c r="B127" s="18"/>
      <c r="C127" s="18"/>
      <c r="D127" s="18"/>
    </row>
    <row r="128" spans="2:4" x14ac:dyDescent="0.15">
      <c r="B128" s="18"/>
      <c r="C128" s="18"/>
      <c r="D128" s="18"/>
    </row>
    <row r="129" spans="2:4" x14ac:dyDescent="0.15">
      <c r="B129" s="18"/>
      <c r="C129" s="18"/>
      <c r="D129" s="18"/>
    </row>
    <row r="130" spans="2:4" x14ac:dyDescent="0.15">
      <c r="B130" s="18"/>
      <c r="C130" s="18"/>
      <c r="D130" s="18"/>
    </row>
    <row r="131" spans="2:4" x14ac:dyDescent="0.15">
      <c r="B131" s="18"/>
      <c r="C131" s="18"/>
      <c r="D131" s="18"/>
    </row>
    <row r="132" spans="2:4" x14ac:dyDescent="0.15">
      <c r="B132" s="18"/>
      <c r="C132" s="18"/>
      <c r="D132" s="18"/>
    </row>
    <row r="133" spans="2:4" x14ac:dyDescent="0.15">
      <c r="B133" s="18"/>
      <c r="C133" s="18"/>
      <c r="D133" s="18"/>
    </row>
    <row r="134" spans="2:4" x14ac:dyDescent="0.15">
      <c r="B134" s="18"/>
      <c r="C134" s="18"/>
      <c r="D134" s="18"/>
    </row>
    <row r="135" spans="2:4" x14ac:dyDescent="0.15">
      <c r="B135" s="18"/>
      <c r="C135" s="18"/>
      <c r="D135" s="18"/>
    </row>
    <row r="136" spans="2:4" x14ac:dyDescent="0.15">
      <c r="B136" s="18"/>
      <c r="C136" s="18"/>
      <c r="D136" s="18"/>
    </row>
    <row r="137" spans="2:4" x14ac:dyDescent="0.15">
      <c r="B137" s="18"/>
      <c r="C137" s="18"/>
      <c r="D137" s="18"/>
    </row>
    <row r="138" spans="2:4" x14ac:dyDescent="0.15">
      <c r="B138" s="18"/>
      <c r="C138" s="18"/>
      <c r="D138" s="18"/>
    </row>
    <row r="139" spans="2:4" x14ac:dyDescent="0.15">
      <c r="B139" s="18"/>
      <c r="C139" s="18"/>
      <c r="D139" s="18"/>
    </row>
    <row r="140" spans="2:4" x14ac:dyDescent="0.15">
      <c r="B140" s="18"/>
      <c r="C140" s="18"/>
      <c r="D140" s="18"/>
    </row>
    <row r="141" spans="2:4" x14ac:dyDescent="0.15">
      <c r="B141" s="18"/>
      <c r="C141" s="18"/>
      <c r="D141" s="18"/>
    </row>
    <row r="142" spans="2:4" x14ac:dyDescent="0.15">
      <c r="B142" s="18"/>
      <c r="C142" s="18"/>
      <c r="D142" s="18"/>
    </row>
    <row r="143" spans="2:4" x14ac:dyDescent="0.15">
      <c r="B143" s="18"/>
      <c r="C143" s="18"/>
      <c r="D143" s="18"/>
    </row>
    <row r="144" spans="2:4" x14ac:dyDescent="0.15">
      <c r="B144" s="18"/>
      <c r="C144" s="18"/>
      <c r="D144" s="18"/>
    </row>
    <row r="145" spans="2:4" x14ac:dyDescent="0.15">
      <c r="B145" s="18"/>
      <c r="C145" s="18"/>
      <c r="D145" s="18"/>
    </row>
    <row r="146" spans="2:4" x14ac:dyDescent="0.15">
      <c r="B146" s="18"/>
      <c r="C146" s="18"/>
      <c r="D146" s="18"/>
    </row>
    <row r="147" spans="2:4" x14ac:dyDescent="0.15">
      <c r="B147" s="18"/>
      <c r="C147" s="18"/>
      <c r="D147" s="18"/>
    </row>
    <row r="148" spans="2:4" x14ac:dyDescent="0.15">
      <c r="B148" s="18"/>
      <c r="C148" s="18"/>
      <c r="D148" s="18"/>
    </row>
    <row r="149" spans="2:4" x14ac:dyDescent="0.15">
      <c r="B149" s="18"/>
      <c r="C149" s="18"/>
      <c r="D149" s="18"/>
    </row>
    <row r="150" spans="2:4" x14ac:dyDescent="0.15">
      <c r="B150" s="18"/>
      <c r="C150" s="18"/>
      <c r="D150" s="18"/>
    </row>
    <row r="151" spans="2:4" x14ac:dyDescent="0.15">
      <c r="B151" s="18"/>
      <c r="C151" s="18"/>
      <c r="D151" s="18"/>
    </row>
    <row r="152" spans="2:4" x14ac:dyDescent="0.15">
      <c r="B152" s="18"/>
      <c r="C152" s="18"/>
      <c r="D152" s="18"/>
    </row>
    <row r="153" spans="2:4" x14ac:dyDescent="0.15">
      <c r="B153" s="18"/>
      <c r="C153" s="18"/>
      <c r="D153" s="18"/>
    </row>
    <row r="154" spans="2:4" x14ac:dyDescent="0.15">
      <c r="B154" s="18"/>
      <c r="C154" s="18"/>
      <c r="D154" s="18"/>
    </row>
    <row r="155" spans="2:4" x14ac:dyDescent="0.15">
      <c r="B155" s="18"/>
      <c r="C155" s="18"/>
      <c r="D155" s="18"/>
    </row>
    <row r="156" spans="2:4" x14ac:dyDescent="0.15">
      <c r="B156" s="18"/>
      <c r="C156" s="18"/>
      <c r="D156" s="18"/>
    </row>
    <row r="157" spans="2:4" x14ac:dyDescent="0.15">
      <c r="B157" s="18"/>
      <c r="C157" s="18"/>
      <c r="D157" s="18"/>
    </row>
    <row r="158" spans="2:4" x14ac:dyDescent="0.15">
      <c r="B158" s="18"/>
      <c r="C158" s="18"/>
      <c r="D158" s="18"/>
    </row>
    <row r="159" spans="2:4" x14ac:dyDescent="0.15">
      <c r="B159" s="18"/>
      <c r="C159" s="18"/>
      <c r="D159" s="18"/>
    </row>
    <row r="160" spans="2:4" x14ac:dyDescent="0.15">
      <c r="B160" s="18"/>
      <c r="C160" s="18"/>
      <c r="D160" s="18"/>
    </row>
    <row r="161" spans="2:4" x14ac:dyDescent="0.15">
      <c r="B161" s="18"/>
      <c r="C161" s="18"/>
      <c r="D161" s="18"/>
    </row>
    <row r="162" spans="2:4" x14ac:dyDescent="0.15">
      <c r="B162" s="18"/>
      <c r="C162" s="18"/>
      <c r="D162" s="18"/>
    </row>
    <row r="163" spans="2:4" x14ac:dyDescent="0.15">
      <c r="B163" s="18"/>
      <c r="C163" s="18"/>
      <c r="D163" s="18"/>
    </row>
    <row r="164" spans="2:4" x14ac:dyDescent="0.15">
      <c r="B164" s="18"/>
      <c r="C164" s="18"/>
      <c r="D164" s="18"/>
    </row>
    <row r="165" spans="2:4" x14ac:dyDescent="0.15">
      <c r="B165" s="18"/>
      <c r="C165" s="18"/>
      <c r="D165" s="18"/>
    </row>
    <row r="166" spans="2:4" x14ac:dyDescent="0.15">
      <c r="B166" s="18"/>
      <c r="C166" s="18"/>
      <c r="D166" s="18"/>
    </row>
    <row r="167" spans="2:4" x14ac:dyDescent="0.15">
      <c r="B167" s="18"/>
      <c r="C167" s="18"/>
      <c r="D167" s="18"/>
    </row>
    <row r="168" spans="2:4" x14ac:dyDescent="0.15">
      <c r="B168" s="18"/>
      <c r="C168" s="18"/>
      <c r="D168" s="18"/>
    </row>
    <row r="169" spans="2:4" x14ac:dyDescent="0.15">
      <c r="B169" s="18"/>
      <c r="C169" s="18"/>
      <c r="D169" s="18"/>
    </row>
    <row r="170" spans="2:4" x14ac:dyDescent="0.15">
      <c r="B170" s="18"/>
      <c r="C170" s="18"/>
      <c r="D170" s="18"/>
    </row>
    <row r="171" spans="2:4" x14ac:dyDescent="0.15">
      <c r="B171" s="18"/>
      <c r="C171" s="18"/>
      <c r="D171" s="18"/>
    </row>
    <row r="172" spans="2:4" x14ac:dyDescent="0.15">
      <c r="B172" s="18"/>
      <c r="C172" s="18"/>
      <c r="D172" s="18"/>
    </row>
    <row r="173" spans="2:4" x14ac:dyDescent="0.15">
      <c r="B173" s="18"/>
      <c r="C173" s="18"/>
      <c r="D173" s="18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119270</xdr:colOff>
                    <xdr:row>5</xdr:row>
                    <xdr:rowOff>119270</xdr:rowOff>
                  </from>
                  <to>
                    <xdr:col>3</xdr:col>
                    <xdr:colOff>485030</xdr:colOff>
                    <xdr:row>7</xdr:row>
                    <xdr:rowOff>127221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例題1.13 2次遅れ要素PDI制御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2017-02-03T06:53:41Z</dcterms:modified>
</cp:coreProperties>
</file>