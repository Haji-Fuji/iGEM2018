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tolab04\Desktop\"/>
    </mc:Choice>
  </mc:AlternateContent>
  <bookViews>
    <workbookView xWindow="1540" yWindow="125" windowWidth="22351" windowHeight="15602"/>
  </bookViews>
  <sheets>
    <sheet name="例題1.9槽列モデルステップ応答" sheetId="2" r:id="rId1"/>
    <sheet name="解析解" sheetId="1" r:id="rId2"/>
  </sheets>
  <calcPr calcId="162913"/>
</workbook>
</file>

<file path=xl/calcChain.xml><?xml version="1.0" encoding="utf-8"?>
<calcChain xmlns="http://schemas.openxmlformats.org/spreadsheetml/2006/main">
  <c r="N5" i="1" l="1"/>
  <c r="O5" i="1"/>
  <c r="P5" i="1"/>
  <c r="Q5" i="1"/>
  <c r="R5" i="1"/>
  <c r="S5" i="1"/>
  <c r="N6" i="1"/>
  <c r="O6" i="1"/>
  <c r="P6" i="1"/>
  <c r="Q6" i="1"/>
  <c r="R6" i="1"/>
  <c r="S6" i="1"/>
  <c r="N7" i="1"/>
  <c r="O7" i="1"/>
  <c r="P7" i="1"/>
  <c r="Q7" i="1"/>
  <c r="R7" i="1"/>
  <c r="S7" i="1"/>
  <c r="N8" i="1"/>
  <c r="O8" i="1"/>
  <c r="P8" i="1"/>
  <c r="Q8" i="1"/>
  <c r="R8" i="1"/>
  <c r="S8" i="1"/>
  <c r="N9" i="1"/>
  <c r="O9" i="1"/>
  <c r="P9" i="1"/>
  <c r="Q9" i="1"/>
  <c r="R9" i="1"/>
  <c r="S9" i="1"/>
  <c r="N10" i="1"/>
  <c r="O10" i="1"/>
  <c r="P10" i="1"/>
  <c r="Q10" i="1"/>
  <c r="R10" i="1"/>
  <c r="S10" i="1"/>
  <c r="N11" i="1"/>
  <c r="O11" i="1"/>
  <c r="P11" i="1"/>
  <c r="Q11" i="1"/>
  <c r="R11" i="1"/>
  <c r="S11" i="1"/>
  <c r="N12" i="1"/>
  <c r="O12" i="1"/>
  <c r="P12" i="1"/>
  <c r="Q12" i="1"/>
  <c r="R12" i="1"/>
  <c r="S12" i="1"/>
  <c r="N13" i="1"/>
  <c r="O13" i="1"/>
  <c r="P13" i="1"/>
  <c r="Q13" i="1"/>
  <c r="R13" i="1"/>
  <c r="S13" i="1"/>
  <c r="N14" i="1"/>
  <c r="O14" i="1"/>
  <c r="P14" i="1"/>
  <c r="Q14" i="1"/>
  <c r="R14" i="1"/>
  <c r="S14" i="1"/>
  <c r="N15" i="1"/>
  <c r="O15" i="1"/>
  <c r="P15" i="1"/>
  <c r="Q15" i="1"/>
  <c r="R15" i="1"/>
  <c r="S15" i="1"/>
  <c r="S4" i="1"/>
  <c r="R4" i="1"/>
  <c r="Q4" i="1"/>
  <c r="P4" i="1"/>
  <c r="O4" i="1"/>
  <c r="N4" i="1"/>
  <c r="L5" i="2"/>
  <c r="M5" i="2"/>
  <c r="N5" i="2"/>
  <c r="O5" i="2"/>
  <c r="P5" i="2"/>
  <c r="Q5" i="2"/>
  <c r="B5" i="2" l="1"/>
  <c r="M4" i="1"/>
  <c r="M5" i="1"/>
  <c r="M6" i="1"/>
  <c r="M7" i="1"/>
  <c r="M8" i="1"/>
  <c r="M9" i="1"/>
  <c r="M10" i="1"/>
  <c r="M11" i="1"/>
  <c r="M12" i="1"/>
  <c r="M13" i="1"/>
  <c r="M14" i="1"/>
  <c r="M15" i="1"/>
  <c r="L5" i="1"/>
  <c r="L6" i="1"/>
  <c r="L7" i="1"/>
  <c r="L8" i="1"/>
  <c r="L9" i="1"/>
  <c r="L10" i="1"/>
  <c r="L11" i="1"/>
  <c r="L12" i="1"/>
  <c r="L13" i="1"/>
  <c r="L14" i="1"/>
  <c r="L15" i="1"/>
  <c r="L4" i="1"/>
  <c r="K5" i="1"/>
  <c r="K6" i="1"/>
  <c r="K7" i="1"/>
  <c r="K8" i="1"/>
  <c r="K9" i="1"/>
  <c r="K10" i="1"/>
  <c r="K11" i="1"/>
  <c r="K12" i="1"/>
  <c r="K13" i="1"/>
  <c r="K14" i="1"/>
  <c r="K15" i="1"/>
  <c r="K4" i="1"/>
  <c r="J5" i="1"/>
  <c r="J6" i="1"/>
  <c r="J7" i="1"/>
  <c r="J8" i="1"/>
  <c r="J9" i="1"/>
  <c r="J10" i="1"/>
  <c r="J11" i="1"/>
  <c r="J12" i="1"/>
  <c r="J13" i="1"/>
  <c r="J14" i="1"/>
  <c r="J15" i="1"/>
  <c r="J4" i="1"/>
  <c r="I5" i="1"/>
  <c r="I6" i="1"/>
  <c r="I7" i="1"/>
  <c r="I8" i="1"/>
  <c r="I9" i="1"/>
  <c r="I10" i="1"/>
  <c r="I11" i="1"/>
  <c r="I12" i="1"/>
  <c r="I13" i="1"/>
  <c r="I14" i="1"/>
  <c r="I15" i="1"/>
  <c r="I4" i="1"/>
  <c r="H5" i="1"/>
  <c r="H6" i="1"/>
  <c r="H7" i="1"/>
  <c r="H8" i="1"/>
  <c r="H9" i="1"/>
  <c r="H10" i="1"/>
  <c r="H11" i="1"/>
  <c r="H12" i="1"/>
  <c r="H13" i="1"/>
  <c r="H14" i="1"/>
  <c r="H15" i="1"/>
  <c r="H4" i="1"/>
  <c r="G5" i="1"/>
  <c r="G6" i="1"/>
  <c r="G7" i="1"/>
  <c r="G8" i="1"/>
  <c r="G9" i="1"/>
  <c r="G10" i="1"/>
  <c r="G11" i="1"/>
  <c r="G12" i="1"/>
  <c r="G13" i="1"/>
  <c r="G14" i="1"/>
  <c r="G15" i="1"/>
  <c r="G4" i="1"/>
  <c r="F5" i="1"/>
  <c r="F6" i="1"/>
  <c r="F7" i="1"/>
  <c r="F8" i="1"/>
  <c r="F9" i="1"/>
  <c r="F10" i="1"/>
  <c r="F11" i="1"/>
  <c r="F12" i="1"/>
  <c r="F13" i="1"/>
  <c r="F14" i="1"/>
  <c r="F15" i="1"/>
  <c r="E5" i="1"/>
  <c r="E6" i="1"/>
  <c r="E7" i="1"/>
  <c r="E8" i="1"/>
  <c r="E9" i="1"/>
  <c r="E10" i="1"/>
  <c r="E11" i="1"/>
  <c r="E12" i="1"/>
  <c r="B12" i="1" s="1"/>
  <c r="E13" i="1"/>
  <c r="E14" i="1"/>
  <c r="E15" i="1"/>
  <c r="F4" i="1"/>
  <c r="E4" i="1"/>
  <c r="B4" i="1" s="1"/>
  <c r="F5" i="2"/>
  <c r="G5" i="2"/>
  <c r="H5" i="2"/>
  <c r="I5" i="2"/>
  <c r="J5" i="2"/>
  <c r="K5" i="2"/>
  <c r="E5" i="2"/>
  <c r="D5" i="2"/>
  <c r="C5" i="2"/>
  <c r="B11" i="1" l="1"/>
  <c r="B9" i="1"/>
  <c r="B8" i="1"/>
  <c r="B7" i="1"/>
  <c r="B14" i="1"/>
  <c r="B6" i="1"/>
  <c r="B10" i="1"/>
  <c r="B15" i="1"/>
  <c r="B13" i="1"/>
  <c r="B5" i="1"/>
</calcChain>
</file>

<file path=xl/comments1.xml><?xml version="1.0" encoding="utf-8"?>
<comments xmlns="http://schemas.openxmlformats.org/spreadsheetml/2006/main">
  <authors>
    <author>ito akira</author>
  </authors>
  <commentList>
    <comment ref="B5" authorId="0" shapeId="0">
      <text>
        <r>
          <rPr>
            <sz val="10"/>
            <color indexed="81"/>
            <rFont val="ＭＳ Ｐゴシック"/>
            <family val="3"/>
            <charset val="128"/>
          </rPr>
          <t>=$E$1*(1-B3)</t>
        </r>
      </text>
    </comment>
    <comment ref="C5" authorId="0" shapeId="0">
      <text>
        <r>
          <rPr>
            <sz val="10"/>
            <color indexed="81"/>
            <rFont val="ＭＳ Ｐゴシック"/>
            <family val="3"/>
            <charset val="128"/>
          </rPr>
          <t xml:space="preserve">=$E$1*(B3-C3)
</t>
        </r>
      </text>
    </comment>
  </commentList>
</comments>
</file>

<file path=xl/sharedStrings.xml><?xml version="1.0" encoding="utf-8"?>
<sst xmlns="http://schemas.openxmlformats.org/spreadsheetml/2006/main" count="62" uniqueCount="61">
  <si>
    <t>b]</t>
    <phoneticPr fontId="3"/>
  </si>
  <si>
    <t>微分方程式数</t>
    <rPh sb="0" eb="2">
      <t>ビブン</t>
    </rPh>
    <rPh sb="2" eb="5">
      <t>ホウテイシキ</t>
    </rPh>
    <rPh sb="5" eb="6">
      <t>スウ</t>
    </rPh>
    <phoneticPr fontId="3"/>
  </si>
  <si>
    <t>微分方程式→</t>
    <rPh sb="0" eb="2">
      <t>ビブン</t>
    </rPh>
    <rPh sb="2" eb="5">
      <t>ホウテイシキ</t>
    </rPh>
    <phoneticPr fontId="3"/>
  </si>
  <si>
    <t>計算結果</t>
    <rPh sb="0" eb="2">
      <t>ケイサン</t>
    </rPh>
    <rPh sb="2" eb="4">
      <t>ケッカ</t>
    </rPh>
    <phoneticPr fontId="3"/>
  </si>
  <si>
    <t>積分区間t=[a,</t>
    <rPh sb="0" eb="2">
      <t>セキブン</t>
    </rPh>
    <rPh sb="2" eb="4">
      <t>クカン</t>
    </rPh>
    <phoneticPr fontId="3"/>
  </si>
  <si>
    <t>積分刻み幅Δt</t>
    <rPh sb="0" eb="2">
      <t>セキブン</t>
    </rPh>
    <rPh sb="2" eb="3">
      <t>キザ</t>
    </rPh>
    <rPh sb="4" eb="5">
      <t>ハバ</t>
    </rPh>
    <phoneticPr fontId="3"/>
  </si>
  <si>
    <t>θ=</t>
    <phoneticPr fontId="3"/>
  </si>
  <si>
    <t>E1=</t>
    <phoneticPr fontId="3"/>
  </si>
  <si>
    <t>E2=</t>
    <phoneticPr fontId="3"/>
  </si>
  <si>
    <t>E3=</t>
    <phoneticPr fontId="3"/>
  </si>
  <si>
    <t>E4=</t>
    <phoneticPr fontId="3"/>
  </si>
  <si>
    <t>E1'=</t>
    <phoneticPr fontId="3"/>
  </si>
  <si>
    <t>E2'=</t>
    <phoneticPr fontId="3"/>
  </si>
  <si>
    <t>E3'=</t>
    <phoneticPr fontId="3"/>
  </si>
  <si>
    <t>E4'=</t>
    <phoneticPr fontId="3"/>
  </si>
  <si>
    <t>θ</t>
    <phoneticPr fontId="3"/>
  </si>
  <si>
    <t>E1</t>
    <phoneticPr fontId="3"/>
  </si>
  <si>
    <t>E2</t>
    <phoneticPr fontId="3"/>
  </si>
  <si>
    <t>E3</t>
    <phoneticPr fontId="3"/>
  </si>
  <si>
    <t>E4</t>
    <phoneticPr fontId="3"/>
  </si>
  <si>
    <t>N=</t>
    <phoneticPr fontId="3"/>
  </si>
  <si>
    <t>E5=</t>
  </si>
  <si>
    <t>E6=</t>
  </si>
  <si>
    <t>E7=</t>
  </si>
  <si>
    <t>E8=</t>
  </si>
  <si>
    <t>E9=</t>
  </si>
  <si>
    <t>E10=</t>
  </si>
  <si>
    <t>E5'=</t>
  </si>
  <si>
    <t>E6'=</t>
  </si>
  <si>
    <t>E7'=</t>
  </si>
  <si>
    <t>E8'=</t>
  </si>
  <si>
    <t>E9'=</t>
  </si>
  <si>
    <t>E10'=</t>
  </si>
  <si>
    <t>E5</t>
  </si>
  <si>
    <t>E6</t>
  </si>
  <si>
    <t>E7</t>
  </si>
  <si>
    <t>E8</t>
  </si>
  <si>
    <t>E9</t>
  </si>
  <si>
    <t>E10</t>
  </si>
  <si>
    <t>θ</t>
  </si>
  <si>
    <t>F</t>
    <phoneticPr fontId="3"/>
  </si>
  <si>
    <t>槽列モデル　ステップ入力解析解　Levenspiel p. 327</t>
    <rPh sb="0" eb="2">
      <t>ソウレツ</t>
    </rPh>
    <rPh sb="10" eb="12">
      <t>ニュウリョク</t>
    </rPh>
    <rPh sb="12" eb="14">
      <t>カイセキ</t>
    </rPh>
    <rPh sb="14" eb="15">
      <t>カイ</t>
    </rPh>
    <phoneticPr fontId="3"/>
  </si>
  <si>
    <t>E11'=</t>
  </si>
  <si>
    <t>E12'=</t>
  </si>
  <si>
    <t>E13'=</t>
  </si>
  <si>
    <t>E14'=</t>
  </si>
  <si>
    <t>E15'=</t>
  </si>
  <si>
    <t>E16'=</t>
  </si>
  <si>
    <t>E11=</t>
  </si>
  <si>
    <t>E12=</t>
  </si>
  <si>
    <t>E13=</t>
  </si>
  <si>
    <t>E14=</t>
  </si>
  <si>
    <t>E15=</t>
  </si>
  <si>
    <t>E16=</t>
  </si>
  <si>
    <t>E11</t>
  </si>
  <si>
    <t>E12</t>
  </si>
  <si>
    <t>E13</t>
  </si>
  <si>
    <t>E14</t>
  </si>
  <si>
    <t>E15</t>
  </si>
  <si>
    <t>E16</t>
  </si>
  <si>
    <t>(N-1)=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</si>
</sst>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0_ "/>
    <numFmt numFmtId="177" formatCode="0.00_);[Red]\(0.00\)"/>
    <numFmt numFmtId="178" formatCode="0.000_);[Red]\(0.000\)"/>
    <numFmt numFmtId="179" formatCode="0_ "/>
  </numFmts>
  <fonts count="8" x14ac:knownFonts="1">
    <font>
      <sz val="8"/>
      <name val="ＭＳ Ｐゴシック"/>
      <family val="3"/>
      <charset val="128"/>
    </font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sz val="10"/>
      <color indexed="81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</cellStyleXfs>
  <cellXfs count="23">
    <xf numFmtId="0" fontId="0" fillId="0" borderId="0" xfId="0">
      <alignment vertical="center"/>
    </xf>
    <xf numFmtId="0" fontId="4" fillId="0" borderId="0" xfId="2" applyFont="1"/>
    <xf numFmtId="177" fontId="4" fillId="0" borderId="0" xfId="2" applyNumberFormat="1" applyFont="1"/>
    <xf numFmtId="177" fontId="4" fillId="0" borderId="0" xfId="2" applyNumberFormat="1" applyFont="1" applyAlignment="1">
      <alignment horizontal="right"/>
    </xf>
    <xf numFmtId="0" fontId="4" fillId="0" borderId="1" xfId="2" applyFont="1" applyBorder="1"/>
    <xf numFmtId="0" fontId="4" fillId="0" borderId="2" xfId="2" applyFont="1" applyBorder="1"/>
    <xf numFmtId="0" fontId="4" fillId="0" borderId="3" xfId="2" applyFont="1" applyBorder="1"/>
    <xf numFmtId="0" fontId="4" fillId="0" borderId="4" xfId="2" applyFont="1" applyBorder="1"/>
    <xf numFmtId="0" fontId="4" fillId="0" borderId="0" xfId="2" applyFont="1" applyAlignment="1">
      <alignment horizontal="right"/>
    </xf>
    <xf numFmtId="11" fontId="4" fillId="0" borderId="0" xfId="2" applyNumberFormat="1" applyFont="1"/>
    <xf numFmtId="177" fontId="4" fillId="0" borderId="0" xfId="2" applyNumberFormat="1" applyFont="1" applyBorder="1"/>
    <xf numFmtId="179" fontId="4" fillId="0" borderId="0" xfId="2" applyNumberFormat="1" applyFont="1"/>
    <xf numFmtId="178" fontId="4" fillId="0" borderId="5" xfId="2" applyNumberFormat="1" applyFont="1" applyBorder="1"/>
    <xf numFmtId="178" fontId="4" fillId="0" borderId="6" xfId="2" applyNumberFormat="1" applyFont="1" applyBorder="1"/>
    <xf numFmtId="178" fontId="4" fillId="0" borderId="0" xfId="2" applyNumberFormat="1" applyFont="1"/>
    <xf numFmtId="0" fontId="4" fillId="0" borderId="0" xfId="2" applyFont="1" applyBorder="1"/>
    <xf numFmtId="0" fontId="1" fillId="0" borderId="0" xfId="2" applyFont="1"/>
    <xf numFmtId="0" fontId="5" fillId="0" borderId="0" xfId="1" applyFont="1" applyAlignment="1" applyProtection="1"/>
    <xf numFmtId="0" fontId="4" fillId="0" borderId="5" xfId="2" applyNumberFormat="1" applyFont="1" applyBorder="1"/>
    <xf numFmtId="0" fontId="4" fillId="0" borderId="6" xfId="2" applyNumberFormat="1" applyFont="1" applyBorder="1"/>
    <xf numFmtId="0" fontId="4" fillId="0" borderId="7" xfId="2" applyNumberFormat="1" applyFont="1" applyBorder="1"/>
    <xf numFmtId="0" fontId="2" fillId="0" borderId="0" xfId="0" applyFont="1">
      <alignment vertical="center"/>
    </xf>
    <xf numFmtId="176" fontId="2" fillId="0" borderId="0" xfId="0" applyNumberFormat="1" applyFont="1">
      <alignment vertical="center"/>
    </xf>
  </cellXfs>
  <cellStyles count="3">
    <cellStyle name="ハイパーリンク" xfId="1" builtinId="8"/>
    <cellStyle name="標準" xfId="0" builtinId="0"/>
    <cellStyle name="標準_memb6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28840970350405"/>
          <c:y val="5.8365758754863814E-2"/>
          <c:w val="0.75471698113207553"/>
          <c:h val="0.70038910505836571"/>
        </c:manualLayout>
      </c:layout>
      <c:scatterChart>
        <c:scatterStyle val="lineMarker"/>
        <c:varyColors val="0"/>
        <c:ser>
          <c:idx val="1"/>
          <c:order val="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'例題1.9槽列モデルステップ応答'!$A$12:$A$50</c:f>
              <c:numCache>
                <c:formatCode>0.00_);[Red]\(0.00\)</c:formatCode>
                <c:ptCount val="3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0.19999999999999998</c:v>
                </c:pt>
                <c:pt idx="5">
                  <c:v>0.24999999999999997</c:v>
                </c:pt>
                <c:pt idx="6">
                  <c:v>0.3</c:v>
                </c:pt>
                <c:pt idx="7">
                  <c:v>0.35000000000000003</c:v>
                </c:pt>
                <c:pt idx="8">
                  <c:v>0.40000000000000008</c:v>
                </c:pt>
                <c:pt idx="9">
                  <c:v>0.45000000000000012</c:v>
                </c:pt>
                <c:pt idx="10">
                  <c:v>0.50000000000000011</c:v>
                </c:pt>
                <c:pt idx="11">
                  <c:v>0.55000000000000016</c:v>
                </c:pt>
                <c:pt idx="12">
                  <c:v>0.6000000000000002</c:v>
                </c:pt>
                <c:pt idx="13">
                  <c:v>0.65000000000000024</c:v>
                </c:pt>
                <c:pt idx="14">
                  <c:v>0.70000000000000029</c:v>
                </c:pt>
                <c:pt idx="15">
                  <c:v>0.75000000000000033</c:v>
                </c:pt>
                <c:pt idx="16">
                  <c:v>0.80000000000000038</c:v>
                </c:pt>
                <c:pt idx="17">
                  <c:v>0.85000000000000042</c:v>
                </c:pt>
                <c:pt idx="18">
                  <c:v>0.90000000000000047</c:v>
                </c:pt>
                <c:pt idx="19">
                  <c:v>0.95000000000000051</c:v>
                </c:pt>
                <c:pt idx="20">
                  <c:v>1.0000000000000004</c:v>
                </c:pt>
                <c:pt idx="21">
                  <c:v>1.0500000000000003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1.1999999999999997</c:v>
                </c:pt>
                <c:pt idx="25">
                  <c:v>1.2499999999999996</c:v>
                </c:pt>
                <c:pt idx="26">
                  <c:v>1.2999999999999994</c:v>
                </c:pt>
                <c:pt idx="27">
                  <c:v>1.3499999999999992</c:v>
                </c:pt>
                <c:pt idx="28">
                  <c:v>1.399999999999999</c:v>
                </c:pt>
                <c:pt idx="29">
                  <c:v>1.4499999999999988</c:v>
                </c:pt>
                <c:pt idx="30">
                  <c:v>1.4999999999999987</c:v>
                </c:pt>
                <c:pt idx="31">
                  <c:v>1.5499999999999985</c:v>
                </c:pt>
                <c:pt idx="32">
                  <c:v>1.5999999999999983</c:v>
                </c:pt>
                <c:pt idx="33">
                  <c:v>1.6499999999999981</c:v>
                </c:pt>
                <c:pt idx="34">
                  <c:v>1.699999999999998</c:v>
                </c:pt>
                <c:pt idx="35">
                  <c:v>1.7499999999999978</c:v>
                </c:pt>
                <c:pt idx="36">
                  <c:v>1.7999999999999976</c:v>
                </c:pt>
                <c:pt idx="37">
                  <c:v>1.8499999999999974</c:v>
                </c:pt>
                <c:pt idx="38">
                  <c:v>1.8999999999999972</c:v>
                </c:pt>
              </c:numCache>
            </c:numRef>
          </c:xVal>
          <c:yVal>
            <c:numRef>
              <c:f>'例題1.9槽列モデルステップ応答'!$Q$12:$Q$48</c:f>
              <c:numCache>
                <c:formatCode>0.000_);[Red]\(0.000\)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8.4838860167901297E-8</c:v>
                </c:pt>
                <c:pt idx="5">
                  <c:v>3.1269115251323492E-6</c:v>
                </c:pt>
                <c:pt idx="6">
                  <c:v>3.6870073478696744E-5</c:v>
                </c:pt>
                <c:pt idx="7">
                  <c:v>2.30726799208875E-4</c:v>
                </c:pt>
                <c:pt idx="8">
                  <c:v>9.7596018336714753E-4</c:v>
                </c:pt>
                <c:pt idx="9">
                  <c:v>3.1418206723195425E-3</c:v>
                </c:pt>
                <c:pt idx="10">
                  <c:v>8.2456504535865852E-3</c:v>
                </c:pt>
                <c:pt idx="11">
                  <c:v>1.8443780289705565E-2</c:v>
                </c:pt>
                <c:pt idx="12">
                  <c:v>3.6263555776813644E-2</c:v>
                </c:pt>
                <c:pt idx="13">
                  <c:v>6.4111505721526046E-2</c:v>
                </c:pt>
                <c:pt idx="14">
                  <c:v>0.10370111103717633</c:v>
                </c:pt>
                <c:pt idx="15">
                  <c:v>0.15558545496509302</c:v>
                </c:pt>
                <c:pt idx="16">
                  <c:v>0.21893947368014754</c:v>
                </c:pt>
                <c:pt idx="17">
                  <c:v>0.29164315749430902</c:v>
                </c:pt>
                <c:pt idx="18">
                  <c:v>0.37061923581935646</c:v>
                </c:pt>
                <c:pt idx="19">
                  <c:v>0.4523148932387725</c:v>
                </c:pt>
                <c:pt idx="20">
                  <c:v>0.53320094396409023</c:v>
                </c:pt>
                <c:pt idx="21">
                  <c:v>0.61018562912504404</c:v>
                </c:pt>
                <c:pt idx="22">
                  <c:v>0.68088463253974896</c:v>
                </c:pt>
                <c:pt idx="23">
                  <c:v>0.74373478876815224</c:v>
                </c:pt>
                <c:pt idx="24">
                  <c:v>0.79797352121149778</c:v>
                </c:pt>
                <c:pt idx="25">
                  <c:v>0.84352452821176094</c:v>
                </c:pt>
                <c:pt idx="26">
                  <c:v>0.88083403797161575</c:v>
                </c:pt>
                <c:pt idx="27">
                  <c:v>0.91069568655993982</c:v>
                </c:pt>
                <c:pt idx="28">
                  <c:v>0.93409093586331016</c:v>
                </c:pt>
                <c:pt idx="29">
                  <c:v>0.95206012958308361</c:v>
                </c:pt>
                <c:pt idx="30">
                  <c:v>0.96560937303056904</c:v>
                </c:pt>
                <c:pt idx="31">
                  <c:v>0.97565150171915049</c:v>
                </c:pt>
                <c:pt idx="32">
                  <c:v>0.98297548548696867</c:v>
                </c:pt>
                <c:pt idx="33">
                  <c:v>0.98823712005843156</c:v>
                </c:pt>
                <c:pt idx="34">
                  <c:v>0.99196400825428088</c:v>
                </c:pt>
                <c:pt idx="35">
                  <c:v>0.99456889932183357</c:v>
                </c:pt>
                <c:pt idx="36">
                  <c:v>0.99636687565679805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D9-49ED-8CDF-2EC4A3A90D97}"/>
            </c:ext>
          </c:extLst>
        </c:ser>
        <c:ser>
          <c:idx val="3"/>
          <c:order val="1"/>
          <c:tx>
            <c:v>槽列モデル解析解N=10</c:v>
          </c:tx>
          <c:spPr>
            <a:ln w="28575">
              <a:noFill/>
            </a:ln>
          </c:spPr>
          <c:marker>
            <c:symbol val="plus"/>
            <c:size val="6"/>
            <c:spPr>
              <a:noFill/>
              <a:ln>
                <a:solidFill>
                  <a:srgbClr val="000000"/>
                </a:solidFill>
              </a:ln>
            </c:spPr>
          </c:marker>
          <c:xVal>
            <c:numRef>
              <c:f>解析解!$A$4:$A$15</c:f>
              <c:numCache>
                <c:formatCode>0.000_ </c:formatCode>
                <c:ptCount val="12"/>
                <c:pt idx="0">
                  <c:v>0</c:v>
                </c:pt>
                <c:pt idx="1">
                  <c:v>0.19354838709677419</c:v>
                </c:pt>
                <c:pt idx="2">
                  <c:v>0.38709677419354838</c:v>
                </c:pt>
                <c:pt idx="3">
                  <c:v>0.58064516129032262</c:v>
                </c:pt>
                <c:pt idx="4">
                  <c:v>0.77419354838709675</c:v>
                </c:pt>
                <c:pt idx="5">
                  <c:v>0.967741935483871</c:v>
                </c:pt>
                <c:pt idx="6">
                  <c:v>1.1612903225806452</c:v>
                </c:pt>
                <c:pt idx="7">
                  <c:v>1.3548387096774193</c:v>
                </c:pt>
                <c:pt idx="8">
                  <c:v>1.5483870967741935</c:v>
                </c:pt>
                <c:pt idx="9">
                  <c:v>1.7419354838709677</c:v>
                </c:pt>
                <c:pt idx="10">
                  <c:v>1.935483870967742</c:v>
                </c:pt>
                <c:pt idx="11">
                  <c:v>2.129032258064516</c:v>
                </c:pt>
              </c:numCache>
            </c:numRef>
          </c:xVal>
          <c:yVal>
            <c:numRef>
              <c:f>解析解!$B$4:$B$15</c:f>
              <c:numCache>
                <c:formatCode>0.000_ </c:formatCode>
                <c:ptCount val="12"/>
                <c:pt idx="0">
                  <c:v>0</c:v>
                </c:pt>
                <c:pt idx="1">
                  <c:v>1.8845874516504324E-7</c:v>
                </c:pt>
                <c:pt idx="2">
                  <c:v>7.0870117602850335E-4</c:v>
                </c:pt>
                <c:pt idx="3">
                  <c:v>2.8243062550255771E-2</c:v>
                </c:pt>
                <c:pt idx="4">
                  <c:v>0.18493048035985737</c:v>
                </c:pt>
                <c:pt idx="5">
                  <c:v>0.48134955437079774</c:v>
                </c:pt>
                <c:pt idx="6">
                  <c:v>0.75672508312985809</c:v>
                </c:pt>
                <c:pt idx="7">
                  <c:v>0.91319465832827906</c:v>
                </c:pt>
                <c:pt idx="8">
                  <c:v>0.97537005384726783</c:v>
                </c:pt>
                <c:pt idx="9">
                  <c:v>0.99421584971863408</c:v>
                </c:pt>
                <c:pt idx="10">
                  <c:v>0.9988385194885957</c:v>
                </c:pt>
                <c:pt idx="11">
                  <c:v>0.9997953755968475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D9-49ED-8CDF-2EC4A3A90D97}"/>
            </c:ext>
          </c:extLst>
        </c:ser>
        <c:ser>
          <c:idx val="0"/>
          <c:order val="2"/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'例題1.9槽列モデルステップ応答'!$R$1:$R$2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'例題1.9槽列モデルステップ応答'!$S$1:$S$2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D9-49ED-8CDF-2EC4A3A90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860632"/>
        <c:axId val="309861024"/>
      </c:scatterChart>
      <c:valAx>
        <c:axId val="309860632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l-GR" altLang="ja-JP" sz="1200"/>
                  <a:t>θ</a:t>
                </a:r>
              </a:p>
            </c:rich>
          </c:tx>
          <c:layout>
            <c:manualLayout>
              <c:xMode val="edge"/>
              <c:yMode val="edge"/>
              <c:x val="0.53638836996816641"/>
              <c:y val="0.86770428169370395"/>
            </c:manualLayout>
          </c:layout>
          <c:overlay val="0"/>
          <c:spPr>
            <a:noFill/>
            <a:ln w="25400">
              <a:noFill/>
            </a:ln>
          </c:spPr>
        </c:title>
        <c:numFmt formatCode="0_);[Red]\(0\)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ＭＳ Ｐゴシック"/>
                <a:cs typeface="Arial" panose="020B0604020202020204" pitchFamily="34" charset="0"/>
              </a:defRPr>
            </a:pPr>
            <a:endParaRPr lang="ja-JP"/>
          </a:p>
        </c:txPr>
        <c:crossAx val="309861024"/>
        <c:crosses val="autoZero"/>
        <c:crossBetween val="midCat"/>
        <c:majorUnit val="1"/>
        <c:minorUnit val="0.2"/>
      </c:valAx>
      <c:valAx>
        <c:axId val="309861024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ＭＳ Ｐゴシック"/>
                    <a:cs typeface="Arial" panose="020B0604020202020204" pitchFamily="34" charset="0"/>
                  </a:defRPr>
                </a:pPr>
                <a:r>
                  <a:rPr lang="en-US" altLang="ja-JP" sz="1200">
                    <a:latin typeface="Arial" panose="020B0604020202020204" pitchFamily="34" charset="0"/>
                    <a:cs typeface="Arial" panose="020B0604020202020204" pitchFamily="34" charset="0"/>
                  </a:rPr>
                  <a:t>F</a:t>
                </a:r>
              </a:p>
            </c:rich>
          </c:tx>
          <c:layout>
            <c:manualLayout>
              <c:xMode val="edge"/>
              <c:yMode val="edge"/>
              <c:x val="3.5040243029488272E-2"/>
              <c:y val="0.38521368940328249"/>
            </c:manualLayout>
          </c:layout>
          <c:overlay val="0"/>
          <c:spPr>
            <a:noFill/>
            <a:ln w="25400">
              <a:noFill/>
            </a:ln>
          </c:spPr>
        </c:title>
        <c:numFmt formatCode="0.0_);[Red]\(0.0\)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ＭＳ Ｐゴシック"/>
                <a:cs typeface="Arial" panose="020B0604020202020204" pitchFamily="34" charset="0"/>
              </a:defRPr>
            </a:pPr>
            <a:endParaRPr lang="ja-JP"/>
          </a:p>
        </c:txPr>
        <c:crossAx val="309860632"/>
        <c:crosses val="autoZero"/>
        <c:crossBetween val="midCat"/>
        <c:majorUnit val="0.2"/>
        <c:minorUnit val="0.1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verticalDpi="0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47708</xdr:colOff>
          <xdr:row>6</xdr:row>
          <xdr:rowOff>135172</xdr:rowOff>
        </xdr:from>
        <xdr:to>
          <xdr:col>3</xdr:col>
          <xdr:colOff>477078</xdr:colOff>
          <xdr:row>8</xdr:row>
          <xdr:rowOff>87464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464820</xdr:colOff>
      <xdr:row>18</xdr:row>
      <xdr:rowOff>99060</xdr:rowOff>
    </xdr:from>
    <xdr:to>
      <xdr:col>9</xdr:col>
      <xdr:colOff>45720</xdr:colOff>
      <xdr:row>35</xdr:row>
      <xdr:rowOff>38100</xdr:rowOff>
    </xdr:to>
    <xdr:graphicFrame macro="">
      <xdr:nvGraphicFramePr>
        <xdr:cNvPr id="1067" name="グラフ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0.30733</cdr:x>
      <cdr:y>0.30648</cdr:y>
    </cdr:from>
    <cdr:to>
      <cdr:x>0.48975</cdr:x>
      <cdr:y>0.41473</cdr:y>
    </cdr:to>
    <cdr:sp macro="" textlink="">
      <cdr:nvSpPr>
        <cdr:cNvPr id="5" name="テキスト ボックス 1"/>
        <cdr:cNvSpPr txBox="1"/>
      </cdr:nvSpPr>
      <cdr:spPr>
        <a:xfrm xmlns:a="http://schemas.openxmlformats.org/drawingml/2006/main">
          <a:off x="1089026" y="774700"/>
          <a:ext cx="692150" cy="273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F=E16</a:t>
          </a:r>
          <a:endParaRPr lang="ja-JP" altLang="en-US" sz="11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0.45713</cdr:x>
      <cdr:y>0.40722</cdr:y>
    </cdr:from>
    <cdr:to>
      <cdr:x>0.52238</cdr:x>
      <cdr:y>0.47136</cdr:y>
    </cdr:to>
    <cdr:sp macro="" textlink="">
      <cdr:nvSpPr>
        <cdr:cNvPr id="6" name="フリーフォーム 5"/>
        <cdr:cNvSpPr/>
      </cdr:nvSpPr>
      <cdr:spPr>
        <a:xfrm xmlns:a="http://schemas.openxmlformats.org/drawingml/2006/main">
          <a:off x="1657350" y="1028700"/>
          <a:ext cx="247650" cy="161925"/>
        </a:xfrm>
        <a:custGeom xmlns:a="http://schemas.openxmlformats.org/drawingml/2006/main">
          <a:avLst/>
          <a:gdLst>
            <a:gd name="connsiteX0" fmla="*/ 0 w 247650"/>
            <a:gd name="connsiteY0" fmla="*/ 0 h 161925"/>
            <a:gd name="connsiteX1" fmla="*/ 247650 w 247650"/>
            <a:gd name="connsiteY1" fmla="*/ 161925 h 1619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247650" h="161925">
              <a:moveTo>
                <a:pt x="0" y="0"/>
              </a:moveTo>
              <a:lnTo>
                <a:pt x="247650" y="161925"/>
              </a:lnTo>
            </a:path>
          </a:pathLst>
        </a:custGeom>
        <a:noFill xmlns:a="http://schemas.openxmlformats.org/drawingml/2006/main"/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0.63402</cdr:x>
      <cdr:y>0.37063</cdr:y>
    </cdr:from>
    <cdr:to>
      <cdr:x>0.89007</cdr:x>
      <cdr:y>0.47614</cdr:y>
    </cdr:to>
    <cdr:sp macro="" textlink="">
      <cdr:nvSpPr>
        <cdr:cNvPr id="7" name="テキスト ボックス 1"/>
        <cdr:cNvSpPr txBox="1"/>
      </cdr:nvSpPr>
      <cdr:spPr>
        <a:xfrm xmlns:a="http://schemas.openxmlformats.org/drawingml/2006/main">
          <a:off x="2327275" y="936625"/>
          <a:ext cx="971541" cy="2667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+</a:t>
          </a:r>
          <a:r>
            <a:rPr lang="ja-JP" altLang="en-US" sz="1100">
              <a:latin typeface="Arial" panose="020B0604020202020204" pitchFamily="34" charset="0"/>
              <a:cs typeface="Arial" panose="020B0604020202020204" pitchFamily="34" charset="0"/>
            </a:rPr>
            <a:t>解析解</a:t>
          </a:r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(N=16)</a:t>
          </a:r>
          <a:endParaRPr lang="ja-JP" altLang="en-US" sz="11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0.62565</cdr:x>
      <cdr:y>0.2526</cdr:y>
    </cdr:from>
    <cdr:to>
      <cdr:x>0.6632</cdr:x>
      <cdr:y>0.38466</cdr:y>
    </cdr:to>
    <cdr:sp macro="" textlink="">
      <cdr:nvSpPr>
        <cdr:cNvPr id="8" name="フリーフォーム 7"/>
        <cdr:cNvSpPr/>
      </cdr:nvSpPr>
      <cdr:spPr>
        <a:xfrm xmlns:a="http://schemas.openxmlformats.org/drawingml/2006/main">
          <a:off x="2295525" y="638175"/>
          <a:ext cx="142875" cy="333375"/>
        </a:xfrm>
        <a:custGeom xmlns:a="http://schemas.openxmlformats.org/drawingml/2006/main">
          <a:avLst/>
          <a:gdLst>
            <a:gd name="connsiteX0" fmla="*/ 0 w 247650"/>
            <a:gd name="connsiteY0" fmla="*/ 0 h 161925"/>
            <a:gd name="connsiteX1" fmla="*/ 247650 w 247650"/>
            <a:gd name="connsiteY1" fmla="*/ 161925 h 1619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247650" h="161925">
              <a:moveTo>
                <a:pt x="0" y="0"/>
              </a:moveTo>
              <a:lnTo>
                <a:pt x="247650" y="161925"/>
              </a:lnTo>
            </a:path>
          </a:pathLst>
        </a:custGeom>
        <a:noFill xmlns:a="http://schemas.openxmlformats.org/drawingml/2006/main"/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0.28147</cdr:x>
      <cdr:y>0.05436</cdr:y>
    </cdr:from>
    <cdr:to>
      <cdr:x>0.58537</cdr:x>
      <cdr:y>0.16265</cdr:y>
    </cdr:to>
    <cdr:sp macro="" textlink="">
      <cdr:nvSpPr>
        <cdr:cNvPr id="9" name="テキスト ボックス 1"/>
        <cdr:cNvSpPr txBox="1"/>
      </cdr:nvSpPr>
      <cdr:spPr>
        <a:xfrm xmlns:a="http://schemas.openxmlformats.org/drawingml/2006/main">
          <a:off x="967300" y="137534"/>
          <a:ext cx="1044379" cy="2739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ja-JP" altLang="en-US" sz="1050">
              <a:latin typeface="Arial" panose="020B0604020202020204" pitchFamily="34" charset="0"/>
              <a:cs typeface="Arial" panose="020B0604020202020204" pitchFamily="34" charset="0"/>
            </a:rPr>
            <a:t>平均滞留時間</a:t>
          </a: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1915"/>
  <sheetViews>
    <sheetView tabSelected="1" workbookViewId="0">
      <selection activeCell="V2" sqref="V2"/>
    </sheetView>
  </sheetViews>
  <sheetFormatPr defaultColWidth="12" defaultRowHeight="11.9" x14ac:dyDescent="0.15"/>
  <cols>
    <col min="1" max="1" width="15.140625" style="2" customWidth="1"/>
    <col min="2" max="2" width="12.140625" style="1" customWidth="1"/>
    <col min="3" max="3" width="11" style="1" customWidth="1"/>
    <col min="4" max="5" width="8" style="1" customWidth="1"/>
    <col min="6" max="6" width="9.140625" style="1" customWidth="1"/>
    <col min="7" max="11" width="8" style="1" customWidth="1"/>
    <col min="12" max="17" width="7.7109375" style="1" customWidth="1"/>
    <col min="18" max="16384" width="12" style="1"/>
  </cols>
  <sheetData>
    <row r="1" spans="1:19" ht="12.55" thickBot="1" x14ac:dyDescent="0.2">
      <c r="A1" s="2" t="s">
        <v>1</v>
      </c>
      <c r="B1" s="7">
        <v>16</v>
      </c>
      <c r="D1" s="8" t="s">
        <v>20</v>
      </c>
      <c r="E1" s="1">
        <v>16</v>
      </c>
      <c r="L1" s="17"/>
      <c r="R1" s="1">
        <v>1</v>
      </c>
      <c r="S1" s="1">
        <v>0</v>
      </c>
    </row>
    <row r="2" spans="1:19" x14ac:dyDescent="0.15">
      <c r="A2" s="2" t="s">
        <v>6</v>
      </c>
      <c r="B2" s="1" t="s">
        <v>7</v>
      </c>
      <c r="C2" s="1" t="s">
        <v>8</v>
      </c>
      <c r="D2" s="1" t="s">
        <v>9</v>
      </c>
      <c r="E2" s="1" t="s">
        <v>10</v>
      </c>
      <c r="F2" s="1" t="s">
        <v>21</v>
      </c>
      <c r="G2" s="1" t="s">
        <v>22</v>
      </c>
      <c r="H2" s="1" t="s">
        <v>23</v>
      </c>
      <c r="I2" s="1" t="s">
        <v>24</v>
      </c>
      <c r="J2" s="1" t="s">
        <v>25</v>
      </c>
      <c r="K2" s="1" t="s">
        <v>26</v>
      </c>
      <c r="L2" s="1" t="s">
        <v>48</v>
      </c>
      <c r="M2" s="1" t="s">
        <v>49</v>
      </c>
      <c r="N2" s="1" t="s">
        <v>50</v>
      </c>
      <c r="O2" s="1" t="s">
        <v>51</v>
      </c>
      <c r="P2" s="1" t="s">
        <v>52</v>
      </c>
      <c r="Q2" s="1" t="s">
        <v>53</v>
      </c>
      <c r="R2" s="1">
        <v>1</v>
      </c>
      <c r="S2" s="1">
        <v>1</v>
      </c>
    </row>
    <row r="3" spans="1:19" x14ac:dyDescent="0.15">
      <c r="A3" s="2">
        <v>2.4999999999999951</v>
      </c>
      <c r="B3" s="1">
        <v>1</v>
      </c>
      <c r="C3" s="1">
        <v>0.99999999999999978</v>
      </c>
      <c r="D3" s="1">
        <v>0.99999999999999611</v>
      </c>
      <c r="E3" s="1">
        <v>0.99999999999994771</v>
      </c>
      <c r="F3" s="1">
        <v>0.99999999999947031</v>
      </c>
      <c r="G3" s="1">
        <v>0.99999999999569622</v>
      </c>
      <c r="H3" s="1">
        <v>0.99999999997078659</v>
      </c>
      <c r="I3" s="1">
        <v>0.99999999982962384</v>
      </c>
      <c r="J3" s="1">
        <v>0.99999999912860416</v>
      </c>
      <c r="K3" s="1">
        <v>0.99999999603010459</v>
      </c>
      <c r="L3" s="1">
        <v>0.99999998369044185</v>
      </c>
      <c r="M3" s="1">
        <v>0.99999993897247819</v>
      </c>
      <c r="N3" s="1">
        <v>0.99999979030016872</v>
      </c>
      <c r="O3" s="1">
        <v>0.99999933371831251</v>
      </c>
      <c r="P3" s="1">
        <v>0.99999803092445272</v>
      </c>
      <c r="Q3" s="1">
        <v>0.99999455973181917</v>
      </c>
    </row>
    <row r="4" spans="1:19" ht="12.55" thickBot="1" x14ac:dyDescent="0.2">
      <c r="B4" s="10" t="s">
        <v>11</v>
      </c>
      <c r="C4" s="10" t="s">
        <v>12</v>
      </c>
      <c r="D4" s="10" t="s">
        <v>13</v>
      </c>
      <c r="E4" s="10" t="s">
        <v>14</v>
      </c>
      <c r="F4" s="10" t="s">
        <v>27</v>
      </c>
      <c r="G4" s="10" t="s">
        <v>28</v>
      </c>
      <c r="H4" s="10" t="s">
        <v>29</v>
      </c>
      <c r="I4" s="10" t="s">
        <v>30</v>
      </c>
      <c r="J4" s="10" t="s">
        <v>31</v>
      </c>
      <c r="K4" s="10" t="s">
        <v>32</v>
      </c>
      <c r="L4" s="10" t="s">
        <v>42</v>
      </c>
      <c r="M4" s="10" t="s">
        <v>43</v>
      </c>
      <c r="N4" s="10" t="s">
        <v>44</v>
      </c>
      <c r="O4" s="10" t="s">
        <v>45</v>
      </c>
      <c r="P4" s="10" t="s">
        <v>46</v>
      </c>
      <c r="Q4" s="10" t="s">
        <v>47</v>
      </c>
    </row>
    <row r="5" spans="1:19" ht="12.55" thickBot="1" x14ac:dyDescent="0.2">
      <c r="A5" s="2" t="s">
        <v>2</v>
      </c>
      <c r="B5" s="18">
        <f>$E$1*(1-B3)</f>
        <v>0</v>
      </c>
      <c r="C5" s="19">
        <f>$E$1*(B3-C3)</f>
        <v>3.5527136788005009E-15</v>
      </c>
      <c r="D5" s="19">
        <f>$E$1*(C3-D3)</f>
        <v>5.8619775700208265E-14</v>
      </c>
      <c r="E5" s="20">
        <f>$E$1*(D3-E3)</f>
        <v>7.744915819785092E-13</v>
      </c>
      <c r="F5" s="20">
        <f t="shared" ref="F5:K5" si="0">$E$1*(E3-F3)</f>
        <v>7.638334409421077E-12</v>
      </c>
      <c r="G5" s="20">
        <f t="shared" si="0"/>
        <v>6.0385474398572114E-11</v>
      </c>
      <c r="H5" s="20">
        <f t="shared" si="0"/>
        <v>3.985540786288766E-10</v>
      </c>
      <c r="I5" s="20">
        <f t="shared" si="0"/>
        <v>2.2586039705174699E-9</v>
      </c>
      <c r="J5" s="20">
        <f t="shared" si="0"/>
        <v>1.1216314987905207E-8</v>
      </c>
      <c r="K5" s="20">
        <f t="shared" si="0"/>
        <v>4.9575993088524228E-8</v>
      </c>
      <c r="L5" s="20">
        <f t="shared" ref="L5" si="1">$E$1*(K3-L3)</f>
        <v>1.974346037769692E-7</v>
      </c>
      <c r="M5" s="20">
        <f t="shared" ref="M5" si="2">$E$1*(L3-M3)</f>
        <v>7.1548741864546628E-7</v>
      </c>
      <c r="N5" s="20">
        <f t="shared" ref="N5" si="3">$E$1*(M3-N3)</f>
        <v>2.3787569514155393E-6</v>
      </c>
      <c r="O5" s="20">
        <f t="shared" ref="O5" si="4">$E$1*(N3-O3)</f>
        <v>7.30530969939025E-6</v>
      </c>
      <c r="P5" s="20">
        <f t="shared" ref="P5" si="5">$E$1*(O3-P3)</f>
        <v>2.0844701756672634E-5</v>
      </c>
      <c r="Q5" s="20">
        <f t="shared" ref="Q5" si="6">$E$1*(P3-Q3)</f>
        <v>5.5539082136846218E-5</v>
      </c>
    </row>
    <row r="6" spans="1:19" ht="12.55" thickBot="1" x14ac:dyDescent="0.2">
      <c r="F6" s="8"/>
      <c r="G6" s="9"/>
    </row>
    <row r="7" spans="1:19" x14ac:dyDescent="0.15">
      <c r="A7" s="2" t="s">
        <v>4</v>
      </c>
      <c r="B7" s="4">
        <v>0</v>
      </c>
      <c r="F7" s="8"/>
    </row>
    <row r="8" spans="1:19" x14ac:dyDescent="0.15">
      <c r="A8" s="3" t="s">
        <v>0</v>
      </c>
      <c r="B8" s="5">
        <v>2.5</v>
      </c>
      <c r="F8" s="8"/>
      <c r="G8" s="11"/>
    </row>
    <row r="9" spans="1:19" ht="12.55" thickBot="1" x14ac:dyDescent="0.2">
      <c r="A9" s="2" t="s">
        <v>5</v>
      </c>
      <c r="B9" s="6">
        <v>0.05</v>
      </c>
      <c r="F9" s="16"/>
      <c r="G9" s="15"/>
    </row>
    <row r="10" spans="1:19" x14ac:dyDescent="0.15">
      <c r="A10" s="2" t="s">
        <v>3</v>
      </c>
    </row>
    <row r="11" spans="1:19" ht="12.55" thickBot="1" x14ac:dyDescent="0.2">
      <c r="A11" s="2" t="s">
        <v>15</v>
      </c>
      <c r="B11" s="15" t="s">
        <v>16</v>
      </c>
      <c r="C11" s="15" t="s">
        <v>17</v>
      </c>
      <c r="D11" s="15" t="s">
        <v>18</v>
      </c>
      <c r="E11" s="15" t="s">
        <v>19</v>
      </c>
      <c r="F11" s="15" t="s">
        <v>33</v>
      </c>
      <c r="G11" s="15" t="s">
        <v>34</v>
      </c>
      <c r="H11" s="15" t="s">
        <v>35</v>
      </c>
      <c r="I11" s="15" t="s">
        <v>36</v>
      </c>
      <c r="J11" s="15" t="s">
        <v>37</v>
      </c>
      <c r="K11" s="15" t="s">
        <v>38</v>
      </c>
      <c r="L11" s="15" t="s">
        <v>54</v>
      </c>
      <c r="M11" s="15" t="s">
        <v>55</v>
      </c>
      <c r="N11" s="15" t="s">
        <v>56</v>
      </c>
      <c r="O11" s="15" t="s">
        <v>57</v>
      </c>
      <c r="P11" s="15" t="s">
        <v>58</v>
      </c>
      <c r="Q11" s="15" t="s">
        <v>59</v>
      </c>
    </row>
    <row r="12" spans="1:19" ht="12.55" thickBot="1" x14ac:dyDescent="0.2">
      <c r="A12" s="2">
        <v>0</v>
      </c>
      <c r="B12" s="12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</row>
    <row r="13" spans="1:19" x14ac:dyDescent="0.15">
      <c r="A13" s="2">
        <v>0.05</v>
      </c>
      <c r="B13" s="14">
        <v>0.54826666666666668</v>
      </c>
      <c r="C13" s="14">
        <v>0.20053333333333337</v>
      </c>
      <c r="D13" s="14">
        <v>3.4133333333333335E-2</v>
      </c>
      <c r="E13" s="14">
        <v>1.7066666666666671E-2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</row>
    <row r="14" spans="1:19" x14ac:dyDescent="0.15">
      <c r="A14" s="2">
        <v>0.1</v>
      </c>
      <c r="B14" s="14">
        <v>0.79593699555555553</v>
      </c>
      <c r="C14" s="14">
        <v>0.48177152000000001</v>
      </c>
      <c r="D14" s="14">
        <v>0.21051619555555556</v>
      </c>
      <c r="E14" s="14">
        <v>7.9371377777777807E-2</v>
      </c>
      <c r="F14" s="14">
        <v>2.4393955555555565E-2</v>
      </c>
      <c r="G14" s="14">
        <v>6.8448711111111131E-3</v>
      </c>
      <c r="H14" s="14">
        <v>8.7381333333333346E-4</v>
      </c>
      <c r="I14" s="14">
        <v>2.9127111111111126E-4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</row>
    <row r="15" spans="1:19" x14ac:dyDescent="0.15">
      <c r="A15" s="2">
        <v>0.15</v>
      </c>
      <c r="B15" s="14">
        <v>0.90781793879229633</v>
      </c>
      <c r="C15" s="14">
        <v>0.69493941255585179</v>
      </c>
      <c r="D15" s="14">
        <v>0.42920244868740742</v>
      </c>
      <c r="E15" s="14">
        <v>0.21987563444148148</v>
      </c>
      <c r="F15" s="14">
        <v>9.5455756894814836E-2</v>
      </c>
      <c r="G15" s="14">
        <v>3.6597088862814826E-2</v>
      </c>
      <c r="H15" s="14">
        <v>1.1781489246814819E-2</v>
      </c>
      <c r="I15" s="14">
        <v>3.3453458014814823E-3</v>
      </c>
      <c r="J15" s="14">
        <v>7.7982985481481507E-4</v>
      </c>
      <c r="K15" s="14">
        <v>1.8019972740740747E-4</v>
      </c>
      <c r="L15" s="14">
        <v>1.9884107851851861E-5</v>
      </c>
      <c r="M15" s="14">
        <v>4.971026962962966E-6</v>
      </c>
      <c r="N15" s="14">
        <v>0</v>
      </c>
      <c r="O15" s="14">
        <v>0</v>
      </c>
      <c r="P15" s="14">
        <v>0</v>
      </c>
      <c r="Q15" s="14">
        <v>0</v>
      </c>
    </row>
    <row r="16" spans="1:19" x14ac:dyDescent="0.15">
      <c r="A16" s="2">
        <v>0.19999999999999998</v>
      </c>
      <c r="B16" s="14">
        <v>0.95835829021710661</v>
      </c>
      <c r="C16" s="14">
        <v>0.830139188547938</v>
      </c>
      <c r="D16" s="14">
        <v>0.62073288956151784</v>
      </c>
      <c r="E16" s="14">
        <v>0.39677116249328204</v>
      </c>
      <c r="F16" s="14">
        <v>0.21835164745566188</v>
      </c>
      <c r="G16" s="14">
        <v>0.10549793347613332</v>
      </c>
      <c r="H16" s="14">
        <v>4.5009556342354186E-2</v>
      </c>
      <c r="I16" s="14">
        <v>1.7079432069726824E-2</v>
      </c>
      <c r="J16" s="14">
        <v>5.7297050980503741E-3</v>
      </c>
      <c r="K16" s="14">
        <v>1.7349016661459763E-3</v>
      </c>
      <c r="L16" s="14">
        <v>4.5957210552952115E-4</v>
      </c>
      <c r="M16" s="14">
        <v>1.095481781918025E-4</v>
      </c>
      <c r="N16" s="14">
        <v>2.1421812192395072E-5</v>
      </c>
      <c r="O16" s="14">
        <v>4.2419430083950639E-6</v>
      </c>
      <c r="P16" s="14">
        <v>4.2419430083950639E-7</v>
      </c>
      <c r="Q16" s="14">
        <v>8.4838860167901297E-8</v>
      </c>
    </row>
    <row r="17" spans="1:17" x14ac:dyDescent="0.15">
      <c r="A17" s="2">
        <v>0.24999999999999997</v>
      </c>
      <c r="B17" s="14">
        <v>0.98118905163407433</v>
      </c>
      <c r="C17" s="14">
        <v>0.90878799889155037</v>
      </c>
      <c r="D17" s="14">
        <v>0.76267695730111917</v>
      </c>
      <c r="E17" s="14">
        <v>0.56664208572790586</v>
      </c>
      <c r="F17" s="14">
        <v>0.37042091957559498</v>
      </c>
      <c r="G17" s="14">
        <v>0.21436935092948428</v>
      </c>
      <c r="H17" s="14">
        <v>0.1107165816108443</v>
      </c>
      <c r="I17" s="14">
        <v>5.1419623925969785E-2</v>
      </c>
      <c r="J17" s="14">
        <v>2.1544009651276008E-2</v>
      </c>
      <c r="K17" s="14">
        <v>8.1868010213871217E-3</v>
      </c>
      <c r="L17" s="14">
        <v>2.8239621757274614E-3</v>
      </c>
      <c r="M17" s="14">
        <v>8.872586821013971E-4</v>
      </c>
      <c r="N17" s="14">
        <v>2.5163925359333742E-4</v>
      </c>
      <c r="O17" s="14">
        <v>6.5046474435738946E-5</v>
      </c>
      <c r="P17" s="14">
        <v>1.4944263411943609E-5</v>
      </c>
      <c r="Q17" s="14">
        <v>3.1269115251323492E-6</v>
      </c>
    </row>
    <row r="18" spans="1:17" x14ac:dyDescent="0.15">
      <c r="A18" s="2">
        <v>0.3</v>
      </c>
      <c r="B18" s="14">
        <v>0.99150246759149918</v>
      </c>
      <c r="C18" s="14">
        <v>0.95225530492083177</v>
      </c>
      <c r="D18" s="14">
        <v>0.85794567585129067</v>
      </c>
      <c r="E18" s="14">
        <v>0.70621393497510399</v>
      </c>
      <c r="F18" s="14">
        <v>0.52353687203727617</v>
      </c>
      <c r="G18" s="14">
        <v>0.34846106087777773</v>
      </c>
      <c r="H18" s="14">
        <v>0.20888282544795911</v>
      </c>
      <c r="I18" s="14">
        <v>0.1133914060454816</v>
      </c>
      <c r="J18" s="14">
        <v>5.6016124316324828E-2</v>
      </c>
      <c r="K18" s="14">
        <v>2.5294179874101298E-2</v>
      </c>
      <c r="L18" s="14">
        <v>1.0474549235819589E-2</v>
      </c>
      <c r="M18" s="14">
        <v>3.9903198055780452E-3</v>
      </c>
      <c r="N18" s="14">
        <v>1.3995163994004565E-3</v>
      </c>
      <c r="O18" s="14">
        <v>4.5244388710038904E-4</v>
      </c>
      <c r="P18" s="14">
        <v>1.3458059040728684E-4</v>
      </c>
      <c r="Q18" s="14">
        <v>3.6870073478696744E-5</v>
      </c>
    </row>
    <row r="19" spans="1:17" x14ac:dyDescent="0.15">
      <c r="A19" s="2">
        <v>0.35000000000000003</v>
      </c>
      <c r="B19" s="14">
        <v>0.99616138135999988</v>
      </c>
      <c r="C19" s="14">
        <v>0.97547725447338773</v>
      </c>
      <c r="D19" s="14">
        <v>0.91781291527625242</v>
      </c>
      <c r="E19" s="14">
        <v>0.80980027609449712</v>
      </c>
      <c r="F19" s="14">
        <v>0.65800880842951359</v>
      </c>
      <c r="G19" s="14">
        <v>0.48787079372198516</v>
      </c>
      <c r="H19" s="14">
        <v>0.32934238745003053</v>
      </c>
      <c r="I19" s="14">
        <v>0.20282986662978938</v>
      </c>
      <c r="J19" s="14">
        <v>0.11437452236300061</v>
      </c>
      <c r="K19" s="14">
        <v>5.9285230109984766E-2</v>
      </c>
      <c r="L19" s="14">
        <v>2.8348562493406237E-2</v>
      </c>
      <c r="M19" s="14">
        <v>1.2545083770334076E-2</v>
      </c>
      <c r="N19" s="14">
        <v>5.1504362662391579E-3</v>
      </c>
      <c r="O19" s="14">
        <v>1.965484680341838E-3</v>
      </c>
      <c r="P19" s="14">
        <v>6.9787098688111606E-4</v>
      </c>
      <c r="Q19" s="14">
        <v>2.30726799208875E-4</v>
      </c>
    </row>
    <row r="20" spans="1:17" x14ac:dyDescent="0.15">
      <c r="A20" s="2">
        <v>0.40000000000000008</v>
      </c>
      <c r="B20" s="14">
        <v>0.99826596800635725</v>
      </c>
      <c r="C20" s="14">
        <v>0.98758744276569566</v>
      </c>
      <c r="D20" s="14">
        <v>0.95370723207464247</v>
      </c>
      <c r="E20" s="14">
        <v>0.88135515851273205</v>
      </c>
      <c r="F20" s="14">
        <v>0.76521243022201024</v>
      </c>
      <c r="G20" s="14">
        <v>0.61626201437441908</v>
      </c>
      <c r="H20" s="14">
        <v>0.4574011360164173</v>
      </c>
      <c r="I20" s="14">
        <v>0.31238064639940227</v>
      </c>
      <c r="J20" s="14">
        <v>0.19655640833991558</v>
      </c>
      <c r="K20" s="14">
        <v>0.11425094329057722</v>
      </c>
      <c r="L20" s="14">
        <v>6.1535768304765634E-2</v>
      </c>
      <c r="M20" s="14">
        <v>3.0803456502004459E-2</v>
      </c>
      <c r="N20" s="14">
        <v>1.4369961446848354E-2</v>
      </c>
      <c r="O20" s="14">
        <v>6.2619719837281127E-3</v>
      </c>
      <c r="P20" s="14">
        <v>2.5536669509213287E-3</v>
      </c>
      <c r="Q20" s="14">
        <v>9.7596018336714753E-4</v>
      </c>
    </row>
    <row r="21" spans="1:17" x14ac:dyDescent="0.15">
      <c r="A21" s="2">
        <v>0.45000000000000012</v>
      </c>
      <c r="B21" s="14">
        <v>0.99921667994740515</v>
      </c>
      <c r="C21" s="14">
        <v>0.99378985342010084</v>
      </c>
      <c r="D21" s="14">
        <v>0.97448321080983424</v>
      </c>
      <c r="E21" s="14">
        <v>0.92821158810242743</v>
      </c>
      <c r="F21" s="14">
        <v>0.84473731056018031</v>
      </c>
      <c r="G21" s="14">
        <v>0.72426489052306497</v>
      </c>
      <c r="H21" s="14">
        <v>0.57956793082991465</v>
      </c>
      <c r="I21" s="14">
        <v>0.43081379173724177</v>
      </c>
      <c r="J21" s="14">
        <v>0.29710495785628088</v>
      </c>
      <c r="K21" s="14">
        <v>0.19026416517006089</v>
      </c>
      <c r="L21" s="14">
        <v>0.11337121451677479</v>
      </c>
      <c r="M21" s="14">
        <v>6.3010201946785721E-2</v>
      </c>
      <c r="N21" s="14">
        <v>3.2746776505626726E-2</v>
      </c>
      <c r="O21" s="14">
        <v>1.5951444444394242E-2</v>
      </c>
      <c r="P21" s="14">
        <v>7.2981572298956941E-3</v>
      </c>
      <c r="Q21" s="14">
        <v>3.1418206723195425E-3</v>
      </c>
    </row>
    <row r="22" spans="1:17" x14ac:dyDescent="0.15">
      <c r="A22" s="2">
        <v>0.50000000000000011</v>
      </c>
      <c r="B22" s="14">
        <v>0.99964614822157449</v>
      </c>
      <c r="C22" s="14">
        <v>0.99692228329201793</v>
      </c>
      <c r="D22" s="14">
        <v>0.98618339633569374</v>
      </c>
      <c r="E22" s="14">
        <v>0.95765100618461674</v>
      </c>
      <c r="F22" s="14">
        <v>0.90053409510809812</v>
      </c>
      <c r="G22" s="14">
        <v>0.80896418256084734</v>
      </c>
      <c r="H22" s="14">
        <v>0.68669814426343723</v>
      </c>
      <c r="I22" s="14">
        <v>0.54692404432157216</v>
      </c>
      <c r="J22" s="14">
        <v>0.4072382700642927</v>
      </c>
      <c r="K22" s="14">
        <v>0.28320145798754748</v>
      </c>
      <c r="L22" s="14">
        <v>0.18405686205861149</v>
      </c>
      <c r="M22" s="14">
        <v>0.11196986263142208</v>
      </c>
      <c r="N22" s="14">
        <v>6.3886294525678289E-2</v>
      </c>
      <c r="O22" s="14">
        <v>3.4259886337838094E-2</v>
      </c>
      <c r="P22" s="14">
        <v>1.7302976292296626E-2</v>
      </c>
      <c r="Q22" s="14">
        <v>8.2456504535865852E-3</v>
      </c>
    </row>
    <row r="23" spans="1:17" x14ac:dyDescent="0.15">
      <c r="A23" s="2">
        <v>0.55000000000000016</v>
      </c>
      <c r="B23" s="14">
        <v>0.9998401533566259</v>
      </c>
      <c r="C23" s="14">
        <v>0.99848664671402976</v>
      </c>
      <c r="D23" s="14">
        <v>0.99262947394552514</v>
      </c>
      <c r="E23" s="14">
        <v>0.97554688308236948</v>
      </c>
      <c r="F23" s="14">
        <v>0.93798413016218696</v>
      </c>
      <c r="G23" s="14">
        <v>0.87177994043584262</v>
      </c>
      <c r="H23" s="14">
        <v>0.77453190068009625</v>
      </c>
      <c r="I23" s="14">
        <v>0.65217632202692477</v>
      </c>
      <c r="J23" s="14">
        <v>0.51758883068678385</v>
      </c>
      <c r="K23" s="14">
        <v>0.38607599108484225</v>
      </c>
      <c r="L23" s="14">
        <v>0.27044147363536242</v>
      </c>
      <c r="M23" s="14">
        <v>0.17799231822052891</v>
      </c>
      <c r="N23" s="14">
        <v>0.11020578888473728</v>
      </c>
      <c r="O23" s="14">
        <v>6.4298053942065003E-2</v>
      </c>
      <c r="P23" s="14">
        <v>3.5412504476767137E-2</v>
      </c>
      <c r="Q23" s="14">
        <v>1.8443780289705565E-2</v>
      </c>
    </row>
    <row r="24" spans="1:17" x14ac:dyDescent="0.15">
      <c r="A24" s="2">
        <v>0.6000000000000002</v>
      </c>
      <c r="B24" s="14">
        <v>0.99992779194296644</v>
      </c>
      <c r="C24" s="14">
        <v>0.99926078386949513</v>
      </c>
      <c r="D24" s="14">
        <v>0.99611764583289308</v>
      </c>
      <c r="E24" s="14">
        <v>0.98613618435490069</v>
      </c>
      <c r="F24" s="14">
        <v>0.96222718906151572</v>
      </c>
      <c r="G24" s="14">
        <v>0.91629312309211175</v>
      </c>
      <c r="H24" s="14">
        <v>0.84269959097370983</v>
      </c>
      <c r="I24" s="14">
        <v>0.74166212151468625</v>
      </c>
      <c r="J24" s="14">
        <v>0.62036432257311358</v>
      </c>
      <c r="K24" s="14">
        <v>0.49100547917053605</v>
      </c>
      <c r="L24" s="14">
        <v>0.36689485475059752</v>
      </c>
      <c r="M24" s="14">
        <v>0.25865361517245533</v>
      </c>
      <c r="N24" s="14">
        <v>0.17210149799257729</v>
      </c>
      <c r="O24" s="14">
        <v>0.10819028703873565</v>
      </c>
      <c r="P24" s="14">
        <v>6.4347098631186511E-2</v>
      </c>
      <c r="Q24" s="14">
        <v>3.6263555776813644E-2</v>
      </c>
    </row>
    <row r="25" spans="1:17" x14ac:dyDescent="0.15">
      <c r="A25" s="2">
        <v>0.65000000000000024</v>
      </c>
      <c r="B25" s="14">
        <v>0.99996738121370266</v>
      </c>
      <c r="C25" s="14">
        <v>0.99964096228494748</v>
      </c>
      <c r="D25" s="14">
        <v>0.99797714570110763</v>
      </c>
      <c r="E25" s="14">
        <v>0.99226299047525579</v>
      </c>
      <c r="F25" s="14">
        <v>0.97745597933885897</v>
      </c>
      <c r="G25" s="14">
        <v>0.94666613429137725</v>
      </c>
      <c r="H25" s="14">
        <v>0.89324622686079547</v>
      </c>
      <c r="I25" s="14">
        <v>0.81379148404899326</v>
      </c>
      <c r="J25" s="14">
        <v>0.71042517697051533</v>
      </c>
      <c r="K25" s="14">
        <v>0.5909576149001613</v>
      </c>
      <c r="L25" s="14">
        <v>0.46674600417887235</v>
      </c>
      <c r="M25" s="14">
        <v>0.34937259363225392</v>
      </c>
      <c r="N25" s="14">
        <v>0.24770514892273976</v>
      </c>
      <c r="O25" s="14">
        <v>0.16640004716386764</v>
      </c>
      <c r="P25" s="14">
        <v>0.10600281498724928</v>
      </c>
      <c r="Q25" s="14">
        <v>6.4111505721526046E-2</v>
      </c>
    </row>
    <row r="26" spans="1:17" x14ac:dyDescent="0.15">
      <c r="A26" s="2">
        <v>0.70000000000000029</v>
      </c>
      <c r="B26" s="14">
        <v>0.99998526500693663</v>
      </c>
      <c r="C26" s="14">
        <v>0.99982646805689845</v>
      </c>
      <c r="D26" s="14">
        <v>0.99895593213722622</v>
      </c>
      <c r="E26" s="14">
        <v>0.99574122045941649</v>
      </c>
      <c r="F26" s="14">
        <v>0.9867824110616441</v>
      </c>
      <c r="G26" s="14">
        <v>0.96673991827070194</v>
      </c>
      <c r="H26" s="14">
        <v>0.92931190593090096</v>
      </c>
      <c r="I26" s="14">
        <v>0.86937000951237187</v>
      </c>
      <c r="J26" s="14">
        <v>0.78537968155237647</v>
      </c>
      <c r="K26" s="14">
        <v>0.68080984201886297</v>
      </c>
      <c r="L26" s="14">
        <v>0.56368858262310617</v>
      </c>
      <c r="M26" s="14">
        <v>0.44447503495072982</v>
      </c>
      <c r="N26" s="14">
        <v>0.333261970575712</v>
      </c>
      <c r="O26" s="14">
        <v>0.23749085977024775</v>
      </c>
      <c r="P26" s="14">
        <v>0.16089440887407611</v>
      </c>
      <c r="Q26" s="14">
        <v>0.10370111103717633</v>
      </c>
    </row>
    <row r="27" spans="1:17" x14ac:dyDescent="0.15">
      <c r="A27" s="2">
        <v>0.75000000000000033</v>
      </c>
      <c r="B27" s="14">
        <v>0.99999334371246684</v>
      </c>
      <c r="C27" s="14">
        <v>0.99991648598864835</v>
      </c>
      <c r="D27" s="14">
        <v>0.99946556500026273</v>
      </c>
      <c r="E27" s="14">
        <v>0.99768398293150484</v>
      </c>
      <c r="F27" s="14">
        <v>0.99237130890325831</v>
      </c>
      <c r="G27" s="14">
        <v>0.97964967486774746</v>
      </c>
      <c r="H27" s="14">
        <v>0.95421228382415801</v>
      </c>
      <c r="I27" s="14">
        <v>0.91057673143096496</v>
      </c>
      <c r="J27" s="14">
        <v>0.84506872835520297</v>
      </c>
      <c r="K27" s="14">
        <v>0.75766964794903346</v>
      </c>
      <c r="L27" s="14">
        <v>0.65276188182218442</v>
      </c>
      <c r="M27" s="14">
        <v>0.53832531802532835</v>
      </c>
      <c r="N27" s="14">
        <v>0.42392507434570276</v>
      </c>
      <c r="O27" s="14">
        <v>0.31836891921809857</v>
      </c>
      <c r="P27" s="14">
        <v>0.22792564024988207</v>
      </c>
      <c r="Q27" s="14">
        <v>0.15558545496509302</v>
      </c>
    </row>
    <row r="28" spans="1:17" x14ac:dyDescent="0.15">
      <c r="A28" s="2">
        <v>0.80000000000000038</v>
      </c>
      <c r="B28" s="14">
        <v>0.99999699313304502</v>
      </c>
      <c r="C28" s="14">
        <v>0.99995995932422055</v>
      </c>
      <c r="D28" s="14">
        <v>0.99972842968432585</v>
      </c>
      <c r="E28" s="14">
        <v>0.99875392669355367</v>
      </c>
      <c r="F28" s="14">
        <v>0.99565804071622321</v>
      </c>
      <c r="G28" s="14">
        <v>0.98775839803956333</v>
      </c>
      <c r="H28" s="14">
        <v>0.97092161403971533</v>
      </c>
      <c r="I28" s="14">
        <v>0.94012659651884156</v>
      </c>
      <c r="J28" s="14">
        <v>0.89082034444994962</v>
      </c>
      <c r="K28" s="14">
        <v>0.82064774697868037</v>
      </c>
      <c r="L28" s="14">
        <v>0.73078646192061192</v>
      </c>
      <c r="M28" s="14">
        <v>0.62620580063401232</v>
      </c>
      <c r="N28" s="14">
        <v>0.51466772292991014</v>
      </c>
      <c r="O28" s="14">
        <v>0.40487942998811155</v>
      </c>
      <c r="P28" s="14">
        <v>0.30453811531350938</v>
      </c>
      <c r="Q28" s="14">
        <v>0.21893947368014754</v>
      </c>
    </row>
    <row r="29" spans="1:17" x14ac:dyDescent="0.15">
      <c r="A29" s="2">
        <v>0.85000000000000042</v>
      </c>
      <c r="B29" s="14">
        <v>0.99999864169796759</v>
      </c>
      <c r="C29" s="14">
        <v>0.99998086670419206</v>
      </c>
      <c r="D29" s="14">
        <v>0.99986289881574708</v>
      </c>
      <c r="E29" s="14">
        <v>0.99933595901495187</v>
      </c>
      <c r="F29" s="14">
        <v>0.99755936705652271</v>
      </c>
      <c r="G29" s="14">
        <v>0.99274755160701333</v>
      </c>
      <c r="H29" s="14">
        <v>0.98185910758452688</v>
      </c>
      <c r="I29" s="14">
        <v>0.96070929213376521</v>
      </c>
      <c r="J29" s="14">
        <v>0.92473826255998315</v>
      </c>
      <c r="K29" s="14">
        <v>0.87034707454545335</v>
      </c>
      <c r="L29" s="14">
        <v>0.79633490905766191</v>
      </c>
      <c r="M29" s="14">
        <v>0.70480079225471837</v>
      </c>
      <c r="N29" s="14">
        <v>0.60105711913597704</v>
      </c>
      <c r="O29" s="14">
        <v>0.49254311308417126</v>
      </c>
      <c r="P29" s="14">
        <v>0.38716013545529127</v>
      </c>
      <c r="Q29" s="14">
        <v>0.29164315749430902</v>
      </c>
    </row>
    <row r="30" spans="1:17" x14ac:dyDescent="0.15">
      <c r="A30" s="2">
        <v>0.90000000000000047</v>
      </c>
      <c r="B30" s="14">
        <v>0.99999938640969521</v>
      </c>
      <c r="C30" s="14">
        <v>0.99999088452561369</v>
      </c>
      <c r="D30" s="14">
        <v>0.99993118751884635</v>
      </c>
      <c r="E30" s="14">
        <v>0.99964914893843959</v>
      </c>
      <c r="F30" s="14">
        <v>0.99864341219946962</v>
      </c>
      <c r="G30" s="14">
        <v>0.99576197506202457</v>
      </c>
      <c r="H30" s="14">
        <v>0.98886344199684506</v>
      </c>
      <c r="I30" s="14">
        <v>0.97468309072964587</v>
      </c>
      <c r="J30" s="14">
        <v>0.94915500257233398</v>
      </c>
      <c r="K30" s="14">
        <v>0.90828908350345172</v>
      </c>
      <c r="L30" s="14">
        <v>0.84940932655209345</v>
      </c>
      <c r="M30" s="14">
        <v>0.77229826173531912</v>
      </c>
      <c r="N30" s="14">
        <v>0.67974651673152719</v>
      </c>
      <c r="O30" s="14">
        <v>0.57722929552945168</v>
      </c>
      <c r="P30" s="14">
        <v>0.47180208430609727</v>
      </c>
      <c r="Q30" s="14">
        <v>0.37061923581935646</v>
      </c>
    </row>
    <row r="31" spans="1:17" x14ac:dyDescent="0.15">
      <c r="A31" s="2">
        <v>0.95000000000000051</v>
      </c>
      <c r="B31" s="14">
        <v>0.99999972282080629</v>
      </c>
      <c r="C31" s="14">
        <v>0.99999566887056857</v>
      </c>
      <c r="D31" s="14">
        <v>0.99996564325279358</v>
      </c>
      <c r="E31" s="14">
        <v>0.99981605320013223</v>
      </c>
      <c r="F31" s="14">
        <v>0.99925356502219909</v>
      </c>
      <c r="G31" s="14">
        <v>0.9975541004830959</v>
      </c>
      <c r="H31" s="14">
        <v>0.9932626445251389</v>
      </c>
      <c r="I31" s="14">
        <v>0.98395660810971619</v>
      </c>
      <c r="J31" s="14">
        <v>0.96627948193593571</v>
      </c>
      <c r="K31" s="14">
        <v>0.93641549496432996</v>
      </c>
      <c r="L31" s="14">
        <v>0.89099948367130111</v>
      </c>
      <c r="M31" s="14">
        <v>0.82821361154161088</v>
      </c>
      <c r="N31" s="14">
        <v>0.74866009971291192</v>
      </c>
      <c r="O31" s="14">
        <v>0.6556327194696524</v>
      </c>
      <c r="P31" s="14">
        <v>0.55463755847354701</v>
      </c>
      <c r="Q31" s="14">
        <v>0.4523148932387725</v>
      </c>
    </row>
    <row r="32" spans="1:17" x14ac:dyDescent="0.15">
      <c r="A32" s="2">
        <v>1.0000000000000004</v>
      </c>
      <c r="B32" s="14">
        <v>0.99999987478891894</v>
      </c>
      <c r="C32" s="14">
        <v>0.99999794710001988</v>
      </c>
      <c r="D32" s="14">
        <v>0.99998292771136987</v>
      </c>
      <c r="E32" s="14">
        <v>0.99990423268224882</v>
      </c>
      <c r="F32" s="14">
        <v>0.99959305039428503</v>
      </c>
      <c r="G32" s="14">
        <v>0.99860427631469062</v>
      </c>
      <c r="H32" s="14">
        <v>0.99597805866730182</v>
      </c>
      <c r="I32" s="14">
        <v>0.98998698583101907</v>
      </c>
      <c r="J32" s="14">
        <v>0.9780129173734855</v>
      </c>
      <c r="K32" s="14">
        <v>0.95672466348134</v>
      </c>
      <c r="L32" s="14">
        <v>0.92265049591182002</v>
      </c>
      <c r="M32" s="14">
        <v>0.87306548354120772</v>
      </c>
      <c r="N32" s="14">
        <v>0.80692717725238461</v>
      </c>
      <c r="O32" s="14">
        <v>0.72550785307783305</v>
      </c>
      <c r="P32" s="14">
        <v>0.63245190148189301</v>
      </c>
      <c r="Q32" s="14">
        <v>0.53320094396409023</v>
      </c>
    </row>
    <row r="33" spans="1:17" x14ac:dyDescent="0.15">
      <c r="A33" s="2">
        <v>1.0500000000000003</v>
      </c>
      <c r="B33" s="14">
        <v>0.99999994343798104</v>
      </c>
      <c r="C33" s="14">
        <v>0.99999902909658234</v>
      </c>
      <c r="D33" s="14">
        <v>0.99999155318127253</v>
      </c>
      <c r="E33" s="14">
        <v>0.99995045836700247</v>
      </c>
      <c r="F33" s="14">
        <v>0.99977998780756216</v>
      </c>
      <c r="G33" s="14">
        <v>0.99921173305943622</v>
      </c>
      <c r="H33" s="14">
        <v>0.99762817317546437</v>
      </c>
      <c r="I33" s="14">
        <v>0.9938373965432461</v>
      </c>
      <c r="J33" s="14">
        <v>0.98588582641922773</v>
      </c>
      <c r="K33" s="14">
        <v>0.97104681941061821</v>
      </c>
      <c r="L33" s="14">
        <v>0.94611219321153017</v>
      </c>
      <c r="M33" s="14">
        <v>0.90801529589473695</v>
      </c>
      <c r="N33" s="14">
        <v>0.85465843824718901</v>
      </c>
      <c r="O33" s="14">
        <v>0.78568432378182262</v>
      </c>
      <c r="P33" s="14">
        <v>0.70290243808381403</v>
      </c>
      <c r="Q33" s="14">
        <v>0.61018562912504404</v>
      </c>
    </row>
    <row r="34" spans="1:17" x14ac:dyDescent="0.15">
      <c r="A34" s="2">
        <v>1.1000000000000001</v>
      </c>
      <c r="B34" s="14">
        <v>0.99999997444905064</v>
      </c>
      <c r="C34" s="14">
        <v>0.9999995417420634</v>
      </c>
      <c r="D34" s="14">
        <v>0.99999583726301844</v>
      </c>
      <c r="E34" s="14">
        <v>0.99997452062890124</v>
      </c>
      <c r="F34" s="14">
        <v>0.99988196279570873</v>
      </c>
      <c r="G34" s="14">
        <v>0.99955900351747684</v>
      </c>
      <c r="H34" s="14">
        <v>0.99861686037326658</v>
      </c>
      <c r="I34" s="14">
        <v>0.99625561534648666</v>
      </c>
      <c r="J34" s="14">
        <v>0.9910693347316113</v>
      </c>
      <c r="K34" s="14">
        <v>0.98093352511314114</v>
      </c>
      <c r="L34" s="14">
        <v>0.96309484265583301</v>
      </c>
      <c r="M34" s="14">
        <v>0.93454499007342495</v>
      </c>
      <c r="N34" s="14">
        <v>0.892656276835888</v>
      </c>
      <c r="O34" s="14">
        <v>0.83592628517516676</v>
      </c>
      <c r="P34" s="14">
        <v>0.76459203015853994</v>
      </c>
      <c r="Q34" s="14">
        <v>0.68088463253974896</v>
      </c>
    </row>
    <row r="35" spans="1:17" x14ac:dyDescent="0.15">
      <c r="A35" s="2">
        <v>1.1499999999999999</v>
      </c>
      <c r="B35" s="14">
        <v>0.99999998845778448</v>
      </c>
      <c r="C35" s="14">
        <v>0.99999978410469803</v>
      </c>
      <c r="D35" s="14">
        <v>0.99999795594970975</v>
      </c>
      <c r="E35" s="14">
        <v>0.99998696590616576</v>
      </c>
      <c r="F35" s="14">
        <v>0.99993711769716609</v>
      </c>
      <c r="G35" s="14">
        <v>0.99975542308612519</v>
      </c>
      <c r="H35" s="14">
        <v>0.99920169326632224</v>
      </c>
      <c r="I35" s="14">
        <v>0.99775174172207159</v>
      </c>
      <c r="J35" s="14">
        <v>0.99442397817710138</v>
      </c>
      <c r="K35" s="14">
        <v>0.98762735021250603</v>
      </c>
      <c r="L35" s="14">
        <v>0.97512508894002847</v>
      </c>
      <c r="M35" s="14">
        <v>0.95420965452884976</v>
      </c>
      <c r="N35" s="14">
        <v>0.9221295372968118</v>
      </c>
      <c r="O35" s="14">
        <v>0.87670848037966986</v>
      </c>
      <c r="P35" s="14">
        <v>0.81699553093260013</v>
      </c>
      <c r="Q35" s="14">
        <v>0.74373478876815224</v>
      </c>
    </row>
    <row r="36" spans="1:17" x14ac:dyDescent="0.15">
      <c r="A36" s="2">
        <v>1.1999999999999997</v>
      </c>
      <c r="B36" s="14">
        <v>0.99999999478599655</v>
      </c>
      <c r="C36" s="14">
        <v>0.9999998984592825</v>
      </c>
      <c r="D36" s="14">
        <v>0.99999899963973116</v>
      </c>
      <c r="E36" s="14">
        <v>0.99999336515895898</v>
      </c>
      <c r="F36" s="14">
        <v>0.99996671756726863</v>
      </c>
      <c r="G36" s="14">
        <v>0.99986544273971478</v>
      </c>
      <c r="H36" s="14">
        <v>0.99954360974380396</v>
      </c>
      <c r="I36" s="14">
        <v>0.99866479569408773</v>
      </c>
      <c r="J36" s="14">
        <v>0.99656124518557521</v>
      </c>
      <c r="K36" s="14">
        <v>0.99207998428908128</v>
      </c>
      <c r="L36" s="14">
        <v>0.98348094601687586</v>
      </c>
      <c r="M36" s="14">
        <v>0.96847279556155186</v>
      </c>
      <c r="N36" s="14">
        <v>0.94445497765384856</v>
      </c>
      <c r="O36" s="14">
        <v>0.90897175011465803</v>
      </c>
      <c r="P36" s="14">
        <v>0.86029454471203548</v>
      </c>
      <c r="Q36" s="14">
        <v>0.79797352121149778</v>
      </c>
    </row>
    <row r="37" spans="1:17" x14ac:dyDescent="0.15">
      <c r="A37" s="2">
        <v>1.2499999999999996</v>
      </c>
      <c r="B37" s="14">
        <v>0.99999999764466085</v>
      </c>
      <c r="C37" s="14">
        <v>0.99999995231759042</v>
      </c>
      <c r="D37" s="14">
        <v>0.99999951192721892</v>
      </c>
      <c r="E37" s="14">
        <v>0.99999663797716853</v>
      </c>
      <c r="F37" s="14">
        <v>0.99998248977843351</v>
      </c>
      <c r="G37" s="14">
        <v>0.99992651974568603</v>
      </c>
      <c r="H37" s="14">
        <v>0.9997413747593823</v>
      </c>
      <c r="I37" s="14">
        <v>0.99921507002020415</v>
      </c>
      <c r="J37" s="14">
        <v>0.99790349697846281</v>
      </c>
      <c r="K37" s="14">
        <v>0.99499423172793322</v>
      </c>
      <c r="L37" s="14">
        <v>0.98918095386916627</v>
      </c>
      <c r="M37" s="14">
        <v>0.97861451895998941</v>
      </c>
      <c r="N37" s="14">
        <v>0.96100277508234444</v>
      </c>
      <c r="O37" s="14">
        <v>0.93390142920662367</v>
      </c>
      <c r="P37" s="14">
        <v>0.89517415104232612</v>
      </c>
      <c r="Q37" s="14">
        <v>0.84352452821176094</v>
      </c>
    </row>
    <row r="38" spans="1:17" x14ac:dyDescent="0.15">
      <c r="A38" s="2">
        <v>1.2999999999999994</v>
      </c>
      <c r="B38" s="14">
        <v>0.99999999893601477</v>
      </c>
      <c r="C38" s="14">
        <v>0.99999997764123627</v>
      </c>
      <c r="D38" s="14">
        <v>0.99999976254856404</v>
      </c>
      <c r="E38" s="14">
        <v>0.99999830356849373</v>
      </c>
      <c r="F38" s="14">
        <v>0.99999083889255014</v>
      </c>
      <c r="G38" s="14">
        <v>0.99996014904791741</v>
      </c>
      <c r="H38" s="14">
        <v>0.99985463941503772</v>
      </c>
      <c r="I38" s="14">
        <v>0.99954290501283383</v>
      </c>
      <c r="J38" s="14">
        <v>0.99873540523926951</v>
      </c>
      <c r="K38" s="14">
        <v>0.99687342334612428</v>
      </c>
      <c r="L38" s="14">
        <v>0.99300533562881255</v>
      </c>
      <c r="M38" s="14">
        <v>0.98569518609326934</v>
      </c>
      <c r="N38" s="14">
        <v>0.97302570761730311</v>
      </c>
      <c r="O38" s="14">
        <v>0.95275181639803874</v>
      </c>
      <c r="P38" s="14">
        <v>0.92262323132362312</v>
      </c>
      <c r="Q38" s="14">
        <v>0.88083403797161575</v>
      </c>
    </row>
    <row r="39" spans="1:17" x14ac:dyDescent="0.15">
      <c r="A39" s="2">
        <v>1.3499999999999992</v>
      </c>
      <c r="B39" s="14">
        <v>0.99999999951936236</v>
      </c>
      <c r="C39" s="14">
        <v>0.99999998952981806</v>
      </c>
      <c r="D39" s="14">
        <v>0.99999988478333668</v>
      </c>
      <c r="E39" s="14">
        <v>0.99999914735690465</v>
      </c>
      <c r="F39" s="14">
        <v>0.99999523180494498</v>
      </c>
      <c r="G39" s="14">
        <v>0.99997852565385192</v>
      </c>
      <c r="H39" s="14">
        <v>0.99991892086080036</v>
      </c>
      <c r="I39" s="14">
        <v>0.99973615173662855</v>
      </c>
      <c r="J39" s="14">
        <v>0.99924476875606172</v>
      </c>
      <c r="K39" s="14">
        <v>0.99806865780532783</v>
      </c>
      <c r="L39" s="14">
        <v>0.99553235154966468</v>
      </c>
      <c r="M39" s="14">
        <v>0.99055611491362294</v>
      </c>
      <c r="N39" s="14">
        <v>0.98160169755498106</v>
      </c>
      <c r="O39" s="14">
        <v>0.96672350304208987</v>
      </c>
      <c r="P39" s="14">
        <v>0.94376453263697879</v>
      </c>
      <c r="Q39" s="14">
        <v>0.91069568655993982</v>
      </c>
    </row>
    <row r="40" spans="1:17" x14ac:dyDescent="0.15">
      <c r="A40" s="2">
        <v>1.399999999999999</v>
      </c>
      <c r="B40" s="14">
        <v>0.9999999997828799</v>
      </c>
      <c r="C40" s="14">
        <v>0.99999999510313609</v>
      </c>
      <c r="D40" s="14">
        <v>0.99999994423198324</v>
      </c>
      <c r="E40" s="14">
        <v>0.9999995730175768</v>
      </c>
      <c r="F40" s="14">
        <v>0.99999753019598137</v>
      </c>
      <c r="G40" s="14">
        <v>0.99998849723680638</v>
      </c>
      <c r="H40" s="14">
        <v>0.9999550965584213</v>
      </c>
      <c r="I40" s="14">
        <v>0.99984894776498512</v>
      </c>
      <c r="J40" s="14">
        <v>0.99955314859515587</v>
      </c>
      <c r="K40" s="14">
        <v>0.9988192746775264</v>
      </c>
      <c r="L40" s="14">
        <v>0.99717866497421259</v>
      </c>
      <c r="M40" s="14">
        <v>0.99384156439106586</v>
      </c>
      <c r="N40" s="14">
        <v>0.98761565231264581</v>
      </c>
      <c r="O40" s="14">
        <v>0.97688952215195091</v>
      </c>
      <c r="P40" s="14">
        <v>0.95972631663516961</v>
      </c>
      <c r="Q40" s="14">
        <v>0.93409093586331016</v>
      </c>
    </row>
    <row r="41" spans="1:17" x14ac:dyDescent="0.15">
      <c r="A41" s="2">
        <v>1.4499999999999988</v>
      </c>
      <c r="B41" s="14">
        <v>0.99999999990191957</v>
      </c>
      <c r="C41" s="14">
        <v>0.99999999771242343</v>
      </c>
      <c r="D41" s="14">
        <v>0.99999997306879629</v>
      </c>
      <c r="E41" s="14">
        <v>0.99999978690686464</v>
      </c>
      <c r="F41" s="14">
        <v>0.99999872646410004</v>
      </c>
      <c r="G41" s="14">
        <v>0.99999387290003339</v>
      </c>
      <c r="H41" s="14">
        <v>0.99997529651014017</v>
      </c>
      <c r="I41" s="14">
        <v>0.99991418674866694</v>
      </c>
      <c r="J41" s="14">
        <v>0.99973790603037016</v>
      </c>
      <c r="K41" s="14">
        <v>0.9992851441280155</v>
      </c>
      <c r="L41" s="14">
        <v>0.99823723098823625</v>
      </c>
      <c r="M41" s="14">
        <v>0.99603028020551054</v>
      </c>
      <c r="N41" s="14">
        <v>0.99176683653784858</v>
      </c>
      <c r="O41" s="14">
        <v>0.98416071078902168</v>
      </c>
      <c r="P41" s="14">
        <v>0.971556741063624</v>
      </c>
      <c r="Q41" s="14">
        <v>0.95206012958308361</v>
      </c>
    </row>
    <row r="42" spans="1:17" x14ac:dyDescent="0.15">
      <c r="A42" s="2">
        <v>1.4999999999999987</v>
      </c>
      <c r="B42" s="14">
        <v>0.99999999995569377</v>
      </c>
      <c r="C42" s="14">
        <v>0.99999999893251956</v>
      </c>
      <c r="D42" s="14">
        <v>0.99999998702249038</v>
      </c>
      <c r="E42" s="14">
        <v>0.99999989399152378</v>
      </c>
      <c r="F42" s="14">
        <v>0.99999934607972896</v>
      </c>
      <c r="G42" s="14">
        <v>0.99999675337645988</v>
      </c>
      <c r="H42" s="14">
        <v>0.99998649400049644</v>
      </c>
      <c r="I42" s="14">
        <v>0.99995160014582052</v>
      </c>
      <c r="J42" s="14">
        <v>0.99984752632462426</v>
      </c>
      <c r="K42" s="14">
        <v>0.99957113146396803</v>
      </c>
      <c r="L42" s="14">
        <v>0.9989096206742718</v>
      </c>
      <c r="M42" s="14">
        <v>0.99746888206680928</v>
      </c>
      <c r="N42" s="14">
        <v>0.99459040368797258</v>
      </c>
      <c r="O42" s="14">
        <v>0.98927907354070288</v>
      </c>
      <c r="P42" s="14">
        <v>0.98017555011911484</v>
      </c>
      <c r="Q42" s="14">
        <v>0.96560937303056904</v>
      </c>
    </row>
    <row r="43" spans="1:17" x14ac:dyDescent="0.15">
      <c r="A43" s="2">
        <v>1.5499999999999985</v>
      </c>
      <c r="B43" s="14">
        <v>0.99999999997998534</v>
      </c>
      <c r="C43" s="14">
        <v>0.99999999950237672</v>
      </c>
      <c r="D43" s="14">
        <v>0.99999999375905524</v>
      </c>
      <c r="E43" s="14">
        <v>0.99999994742134013</v>
      </c>
      <c r="F43" s="14">
        <v>0.99999966556130337</v>
      </c>
      <c r="G43" s="14">
        <v>0.99999828812253899</v>
      </c>
      <c r="H43" s="14">
        <v>0.99999265908757129</v>
      </c>
      <c r="I43" s="14">
        <v>0.99997288647870353</v>
      </c>
      <c r="J43" s="14">
        <v>0.99991197834815182</v>
      </c>
      <c r="K43" s="14">
        <v>0.99974490596010379</v>
      </c>
      <c r="L43" s="14">
        <v>0.99933187928084288</v>
      </c>
      <c r="M43" s="14">
        <v>0.99840265645547999</v>
      </c>
      <c r="N43" s="14">
        <v>0.99648479025646941</v>
      </c>
      <c r="O43" s="14">
        <v>0.99282879667562751</v>
      </c>
      <c r="P43" s="14">
        <v>0.9863546479668216</v>
      </c>
      <c r="Q43" s="14">
        <v>0.97565150171915049</v>
      </c>
    </row>
    <row r="44" spans="1:17" x14ac:dyDescent="0.15">
      <c r="A44" s="2">
        <v>1.5999999999999983</v>
      </c>
      <c r="B44" s="14">
        <v>0.99999999999095868</v>
      </c>
      <c r="C44" s="14">
        <v>0.99999999976824727</v>
      </c>
      <c r="D44" s="14">
        <v>0.99999999700438658</v>
      </c>
      <c r="E44" s="14">
        <v>0.99999997399513607</v>
      </c>
      <c r="F44" s="14">
        <v>0.99999982959221256</v>
      </c>
      <c r="G44" s="14">
        <v>0.99999910152831162</v>
      </c>
      <c r="H44" s="14">
        <v>0.99999603193384945</v>
      </c>
      <c r="I44" s="14">
        <v>0.99998490777719207</v>
      </c>
      <c r="J44" s="14">
        <v>0.99994955295904242</v>
      </c>
      <c r="K44" s="14">
        <v>0.9998494912657504</v>
      </c>
      <c r="L44" s="14">
        <v>0.9995942480744564</v>
      </c>
      <c r="M44" s="14">
        <v>0.99900168620955354</v>
      </c>
      <c r="N44" s="14">
        <v>0.99773958186116785</v>
      </c>
      <c r="O44" s="14">
        <v>0.99525661865242376</v>
      </c>
      <c r="P44" s="14">
        <v>0.99071867838079353</v>
      </c>
      <c r="Q44" s="14">
        <v>0.98297548548696867</v>
      </c>
    </row>
    <row r="45" spans="1:17" x14ac:dyDescent="0.15">
      <c r="A45" s="2">
        <v>1.6499999999999981</v>
      </c>
      <c r="B45" s="14">
        <v>0.99999999999591571</v>
      </c>
      <c r="C45" s="14">
        <v>0.99999999989216559</v>
      </c>
      <c r="D45" s="14">
        <v>0.99999999856468891</v>
      </c>
      <c r="E45" s="14">
        <v>0.99999998717234351</v>
      </c>
      <c r="F45" s="14">
        <v>0.99999991347578454</v>
      </c>
      <c r="G45" s="14">
        <v>0.99999953049163159</v>
      </c>
      <c r="H45" s="14">
        <v>0.99999786621289855</v>
      </c>
      <c r="I45" s="14">
        <v>0.99999164965321596</v>
      </c>
      <c r="J45" s="14">
        <v>0.99997128479266983</v>
      </c>
      <c r="K45" s="14">
        <v>0.99991187366861833</v>
      </c>
      <c r="L45" s="14">
        <v>0.99975565174309777</v>
      </c>
      <c r="M45" s="14">
        <v>0.99938177172400589</v>
      </c>
      <c r="N45" s="14">
        <v>0.99856080003171299</v>
      </c>
      <c r="O45" s="14">
        <v>0.99689562086845418</v>
      </c>
      <c r="P45" s="14">
        <v>0.99375778954009875</v>
      </c>
      <c r="Q45" s="14">
        <v>0.98823712005843156</v>
      </c>
    </row>
    <row r="46" spans="1:17" x14ac:dyDescent="0.15">
      <c r="A46" s="2">
        <v>1.699999999999998</v>
      </c>
      <c r="B46" s="14">
        <v>0.99999999999815503</v>
      </c>
      <c r="C46" s="14">
        <v>0.99999999994986732</v>
      </c>
      <c r="D46" s="14">
        <v>0.99999999931344485</v>
      </c>
      <c r="E46" s="14">
        <v>0.99999999368820114</v>
      </c>
      <c r="F46" s="14">
        <v>0.99999995621277815</v>
      </c>
      <c r="G46" s="14">
        <v>0.9999997556592074</v>
      </c>
      <c r="H46" s="14">
        <v>0.99999885819247925</v>
      </c>
      <c r="I46" s="14">
        <v>0.99999540605931359</v>
      </c>
      <c r="J46" s="14">
        <v>0.9999837601379572</v>
      </c>
      <c r="K46" s="14">
        <v>0.99994877123652737</v>
      </c>
      <c r="L46" s="14">
        <v>0.99985401814473152</v>
      </c>
      <c r="M46" s="14">
        <v>0.99962046083925871</v>
      </c>
      <c r="N46" s="14">
        <v>0.9990922331762776</v>
      </c>
      <c r="O46" s="14">
        <v>0.99798864324657188</v>
      </c>
      <c r="P46" s="14">
        <v>0.99584648517735341</v>
      </c>
      <c r="Q46" s="14">
        <v>0.99196400825428088</v>
      </c>
    </row>
    <row r="47" spans="1:17" x14ac:dyDescent="0.15">
      <c r="A47" s="2">
        <v>1.7499999999999978</v>
      </c>
      <c r="B47" s="14">
        <v>0.99999999999916656</v>
      </c>
      <c r="C47" s="14">
        <v>0.99999999997671185</v>
      </c>
      <c r="D47" s="14">
        <v>0.99999999967212039</v>
      </c>
      <c r="E47" s="14">
        <v>0.99999999690163843</v>
      </c>
      <c r="F47" s="14">
        <v>0.99999997790989958</v>
      </c>
      <c r="G47" s="14">
        <v>0.99999987333398654</v>
      </c>
      <c r="H47" s="14">
        <v>0.99999939183641207</v>
      </c>
      <c r="I47" s="14">
        <v>0.99999748620599416</v>
      </c>
      <c r="J47" s="14">
        <v>0.99999087153252231</v>
      </c>
      <c r="K47" s="14">
        <v>0.99997042302989148</v>
      </c>
      <c r="L47" s="14">
        <v>0.99991344097808188</v>
      </c>
      <c r="M47" s="14">
        <v>0.99976890672284069</v>
      </c>
      <c r="N47" s="14">
        <v>0.99943251020407653</v>
      </c>
      <c r="O47" s="14">
        <v>0.99870922128150852</v>
      </c>
      <c r="P47" s="14">
        <v>0.99726428182425042</v>
      </c>
      <c r="Q47" s="14">
        <v>0.99456889932183357</v>
      </c>
    </row>
    <row r="48" spans="1:17" x14ac:dyDescent="0.15">
      <c r="A48" s="2">
        <v>1.7999999999999976</v>
      </c>
      <c r="B48" s="14">
        <v>0.99999999999962352</v>
      </c>
      <c r="C48" s="14">
        <v>0.9999999999891902</v>
      </c>
      <c r="D48" s="14">
        <v>0.99999999984364907</v>
      </c>
      <c r="E48" s="14">
        <v>0.99999999848246279</v>
      </c>
      <c r="F48" s="14">
        <v>0.99999998888879083</v>
      </c>
      <c r="G48" s="14">
        <v>0.99999993457771463</v>
      </c>
      <c r="H48" s="14">
        <v>0.99999967749197294</v>
      </c>
      <c r="I48" s="14">
        <v>0.99999863144959511</v>
      </c>
      <c r="J48" s="14">
        <v>0.99999489849979706</v>
      </c>
      <c r="K48" s="14">
        <v>0.99998303398786426</v>
      </c>
      <c r="L48" s="14">
        <v>0.99994904124769524</v>
      </c>
      <c r="M48" s="14">
        <v>0.99986038770395425</v>
      </c>
      <c r="N48" s="14">
        <v>0.99964822311322865</v>
      </c>
      <c r="O48" s="14">
        <v>0.9991791411329477</v>
      </c>
      <c r="P48" s="14">
        <v>0.99821548655508541</v>
      </c>
      <c r="Q48" s="14">
        <v>0.99636687565679805</v>
      </c>
    </row>
    <row r="49" spans="1:17" x14ac:dyDescent="0.15">
      <c r="A49" s="2">
        <v>1.8499999999999974</v>
      </c>
      <c r="B49" s="14">
        <v>0.99999999999982991</v>
      </c>
      <c r="C49" s="14">
        <v>0.9999999999949859</v>
      </c>
      <c r="D49" s="14">
        <v>0.99999999992554955</v>
      </c>
      <c r="E49" s="14">
        <v>0.9999999992583043</v>
      </c>
      <c r="F49" s="14">
        <v>0.99999999442679044</v>
      </c>
      <c r="G49" s="14">
        <v>0.99999996632746413</v>
      </c>
      <c r="H49" s="14">
        <v>0.99999982968539169</v>
      </c>
      <c r="I49" s="14">
        <v>0.99999925853157356</v>
      </c>
      <c r="J49" s="14">
        <v>0.99999716462020682</v>
      </c>
      <c r="K49" s="14">
        <v>0.99999032757764927</v>
      </c>
      <c r="L49" s="14">
        <v>0.99997020283464122</v>
      </c>
      <c r="M49" s="14">
        <v>0.99991627884871503</v>
      </c>
      <c r="N49" s="14">
        <v>0.99978368665001016</v>
      </c>
      <c r="O49" s="14">
        <v>0.99948247540298851</v>
      </c>
      <c r="P49" s="14">
        <v>0.99884664771659704</v>
      </c>
      <c r="Q49" s="14">
        <v>0.99759328453058838</v>
      </c>
    </row>
    <row r="50" spans="1:17" x14ac:dyDescent="0.15">
      <c r="A50" s="2">
        <v>1.8999999999999972</v>
      </c>
      <c r="B50" s="14">
        <v>0.99999999999992317</v>
      </c>
      <c r="C50" s="14">
        <v>0.99999999999767586</v>
      </c>
      <c r="D50" s="14">
        <v>0.99999999996459643</v>
      </c>
      <c r="E50" s="14">
        <v>0.99999999963822517</v>
      </c>
      <c r="F50" s="14">
        <v>0.99999999721200605</v>
      </c>
      <c r="G50" s="14">
        <v>0.99999998272622803</v>
      </c>
      <c r="H50" s="14">
        <v>0.9999999104128402</v>
      </c>
      <c r="I50" s="14">
        <v>0.99999960011904532</v>
      </c>
      <c r="J50" s="14">
        <v>0.99999843232100238</v>
      </c>
      <c r="K50" s="14">
        <v>0.99999451782661664</v>
      </c>
      <c r="L50" s="14">
        <v>0.99998268883520847</v>
      </c>
      <c r="M50" s="14">
        <v>0.99995014836166995</v>
      </c>
      <c r="N50" s="14">
        <v>0.99986799969955209</v>
      </c>
      <c r="O50" s="14">
        <v>0.99967639271260278</v>
      </c>
      <c r="P50" s="14">
        <v>0.99926109985460099</v>
      </c>
      <c r="Q50" s="14">
        <v>0.99842051068283799</v>
      </c>
    </row>
    <row r="51" spans="1:17" x14ac:dyDescent="0.15">
      <c r="A51" s="2">
        <v>1.9499999999999971</v>
      </c>
      <c r="B51" s="14">
        <v>0.99999999999996525</v>
      </c>
      <c r="C51" s="14">
        <v>0.99999999999892342</v>
      </c>
      <c r="D51" s="14">
        <v>0.99999999998318612</v>
      </c>
      <c r="E51" s="14">
        <v>0.99999999982387522</v>
      </c>
      <c r="F51" s="14">
        <v>0.99999999860883693</v>
      </c>
      <c r="G51" s="14">
        <v>0.9999999911665397</v>
      </c>
      <c r="H51" s="14">
        <v>0.99999995305312672</v>
      </c>
      <c r="I51" s="14">
        <v>0.99999978527988997</v>
      </c>
      <c r="J51" s="14">
        <v>0.99999913752551262</v>
      </c>
      <c r="K51" s="14">
        <v>0.99999691002134938</v>
      </c>
      <c r="L51" s="14">
        <v>0.99999000442002595</v>
      </c>
      <c r="M51" s="14">
        <v>0.99997051487086741</v>
      </c>
      <c r="N51" s="14">
        <v>0.99992003509260707</v>
      </c>
      <c r="O51" s="14">
        <v>0.99979923057797437</v>
      </c>
      <c r="P51" s="14">
        <v>0.99953057403841306</v>
      </c>
      <c r="Q51" s="14">
        <v>0.99897259995618926</v>
      </c>
    </row>
    <row r="52" spans="1:17" x14ac:dyDescent="0.15">
      <c r="A52" s="2">
        <v>1.9999999999999969</v>
      </c>
      <c r="B52" s="14">
        <v>0.99999999999998435</v>
      </c>
      <c r="C52" s="14">
        <v>0.99999999999950151</v>
      </c>
      <c r="D52" s="14">
        <v>0.99999999999202449</v>
      </c>
      <c r="E52" s="14">
        <v>0.99999999991441213</v>
      </c>
      <c r="F52" s="14">
        <v>0.99999999930750405</v>
      </c>
      <c r="G52" s="14">
        <v>0.99999999549626528</v>
      </c>
      <c r="H52" s="14">
        <v>0.99999997548606145</v>
      </c>
      <c r="I52" s="14">
        <v>0.99999988518214011</v>
      </c>
      <c r="J52" s="14">
        <v>0.99999952773972534</v>
      </c>
      <c r="K52" s="14">
        <v>0.9999982675611051</v>
      </c>
      <c r="L52" s="14">
        <v>0.99999426219322574</v>
      </c>
      <c r="M52" s="14">
        <v>0.99998267223142157</v>
      </c>
      <c r="N52" s="14">
        <v>0.9999518935038888</v>
      </c>
      <c r="O52" s="14">
        <v>0.99987636964360471</v>
      </c>
      <c r="P52" s="14">
        <v>0.99970415046057448</v>
      </c>
      <c r="Q52" s="14">
        <v>0.99933737812005163</v>
      </c>
    </row>
    <row r="53" spans="1:17" x14ac:dyDescent="0.15">
      <c r="A53" s="2">
        <v>2.0499999999999967</v>
      </c>
      <c r="B53" s="14">
        <v>0.99999999999999289</v>
      </c>
      <c r="C53" s="14">
        <v>0.99999999999976941</v>
      </c>
      <c r="D53" s="14">
        <v>0.99999999999622124</v>
      </c>
      <c r="E53" s="14">
        <v>0.99999999995848055</v>
      </c>
      <c r="F53" s="14">
        <v>0.99999999965607889</v>
      </c>
      <c r="G53" s="14">
        <v>0.99999999771032255</v>
      </c>
      <c r="H53" s="14">
        <v>0.99999998724331007</v>
      </c>
      <c r="I53" s="14">
        <v>0.99999993884593108</v>
      </c>
      <c r="J53" s="14">
        <v>0.99999974257049307</v>
      </c>
      <c r="K53" s="14">
        <v>0.99999903357803688</v>
      </c>
      <c r="L53" s="14">
        <v>0.99999672465262901</v>
      </c>
      <c r="M53" s="14">
        <v>0.99998987894536628</v>
      </c>
      <c r="N53" s="14">
        <v>0.99997125085151661</v>
      </c>
      <c r="O53" s="14">
        <v>0.9999244129818724</v>
      </c>
      <c r="P53" s="14">
        <v>0.99981496593202068</v>
      </c>
      <c r="Q53" s="14">
        <v>0.99957610602683356</v>
      </c>
    </row>
    <row r="54" spans="1:17" x14ac:dyDescent="0.15">
      <c r="A54" s="2">
        <v>2.0999999999999965</v>
      </c>
      <c r="B54" s="14">
        <v>0.99999999999999678</v>
      </c>
      <c r="C54" s="14">
        <v>0.99999999999989342</v>
      </c>
      <c r="D54" s="14">
        <v>0.99999999999821165</v>
      </c>
      <c r="E54" s="14">
        <v>0.99999999997989175</v>
      </c>
      <c r="F54" s="14">
        <v>0.99999999982956878</v>
      </c>
      <c r="G54" s="14">
        <v>0.99999999883910629</v>
      </c>
      <c r="H54" s="14">
        <v>0.99999999338317924</v>
      </c>
      <c r="I54" s="14">
        <v>0.99999996755116183</v>
      </c>
      <c r="J54" s="14">
        <v>0.99999986027754251</v>
      </c>
      <c r="K54" s="14">
        <v>0.9999994634853363</v>
      </c>
      <c r="L54" s="14">
        <v>0.99999814026160339</v>
      </c>
      <c r="M54" s="14">
        <v>0.99999412278501998</v>
      </c>
      <c r="N54" s="14">
        <v>0.99998292771839281</v>
      </c>
      <c r="O54" s="14">
        <v>0.99995410125075757</v>
      </c>
      <c r="P54" s="14">
        <v>0.99988511732768603</v>
      </c>
      <c r="Q54" s="14">
        <v>0.99973092938466668</v>
      </c>
    </row>
    <row r="55" spans="1:17" x14ac:dyDescent="0.15">
      <c r="A55" s="2">
        <v>2.1499999999999964</v>
      </c>
      <c r="B55" s="14">
        <v>0.99999999999999856</v>
      </c>
      <c r="C55" s="14">
        <v>0.99999999999995082</v>
      </c>
      <c r="D55" s="14">
        <v>0.99999999999915457</v>
      </c>
      <c r="E55" s="14">
        <v>0.99999999999027678</v>
      </c>
      <c r="F55" s="14">
        <v>0.99999999991571875</v>
      </c>
      <c r="G55" s="14">
        <v>0.99999999941294271</v>
      </c>
      <c r="H55" s="14">
        <v>0.99999999657854655</v>
      </c>
      <c r="I55" s="14">
        <v>0.99999998284446445</v>
      </c>
      <c r="J55" s="14">
        <v>0.99999992447540564</v>
      </c>
      <c r="K55" s="14">
        <v>0.9999997035200604</v>
      </c>
      <c r="L55" s="14">
        <v>0.99999894941360512</v>
      </c>
      <c r="M55" s="14">
        <v>0.9999966061586244</v>
      </c>
      <c r="N55" s="14">
        <v>0.99998992317618351</v>
      </c>
      <c r="O55" s="14">
        <v>0.99997231053899316</v>
      </c>
      <c r="P55" s="14">
        <v>0.99992917027075978</v>
      </c>
      <c r="Q55" s="14">
        <v>0.9998304740761651</v>
      </c>
    </row>
    <row r="56" spans="1:17" x14ac:dyDescent="0.15">
      <c r="A56" s="2">
        <v>2.1999999999999962</v>
      </c>
      <c r="B56" s="14">
        <v>0.99999999999999933</v>
      </c>
      <c r="C56" s="14">
        <v>0.99999999999997724</v>
      </c>
      <c r="D56" s="14">
        <v>0.99999999999960076</v>
      </c>
      <c r="E56" s="14">
        <v>0.99999999999530553</v>
      </c>
      <c r="F56" s="14">
        <v>0.99999999995840472</v>
      </c>
      <c r="G56" s="14">
        <v>0.9999999997038661</v>
      </c>
      <c r="H56" s="14">
        <v>0.99999999823607122</v>
      </c>
      <c r="I56" s="14">
        <v>0.9999999909612286</v>
      </c>
      <c r="J56" s="14">
        <v>0.99999995933668429</v>
      </c>
      <c r="K56" s="14">
        <v>0.99999983688461658</v>
      </c>
      <c r="L56" s="14">
        <v>0.99999940940067511</v>
      </c>
      <c r="M56" s="14">
        <v>0.99999805064881075</v>
      </c>
      <c r="N56" s="14">
        <v>0.99999408664456013</v>
      </c>
      <c r="O56" s="14">
        <v>0.99998339997480901</v>
      </c>
      <c r="P56" s="14">
        <v>0.99995662266668672</v>
      </c>
      <c r="Q56" s="14">
        <v>0.99989395220582766</v>
      </c>
    </row>
    <row r="57" spans="1:17" x14ac:dyDescent="0.15">
      <c r="A57" s="2">
        <v>2.249999999999996</v>
      </c>
      <c r="B57" s="14">
        <v>0.99999999999999967</v>
      </c>
      <c r="C57" s="14">
        <v>0.99999999999998945</v>
      </c>
      <c r="D57" s="14">
        <v>0.9999999999998116</v>
      </c>
      <c r="E57" s="14">
        <v>0.9999999999977367</v>
      </c>
      <c r="F57" s="14">
        <v>0.99999999997951072</v>
      </c>
      <c r="G57" s="14">
        <v>0.99999999985097399</v>
      </c>
      <c r="H57" s="14">
        <v>0.99999999909319059</v>
      </c>
      <c r="I57" s="14">
        <v>0.99999999525344219</v>
      </c>
      <c r="J57" s="14">
        <v>0.99999997818866104</v>
      </c>
      <c r="K57" s="14">
        <v>0.99999991063614391</v>
      </c>
      <c r="L57" s="14">
        <v>0.99999966953520047</v>
      </c>
      <c r="M57" s="14">
        <v>0.99999888605136877</v>
      </c>
      <c r="N57" s="14">
        <v>0.9999965491322983</v>
      </c>
      <c r="O57" s="14">
        <v>0.99999010770905317</v>
      </c>
      <c r="P57" s="14">
        <v>0.99997360529970425</v>
      </c>
      <c r="Q57" s="14">
        <v>0.99993411449735681</v>
      </c>
    </row>
    <row r="58" spans="1:17" x14ac:dyDescent="0.15">
      <c r="A58" s="2">
        <v>2.2999999999999958</v>
      </c>
      <c r="B58" s="14">
        <v>0.99999999999999989</v>
      </c>
      <c r="C58" s="14">
        <v>0.99999999999999512</v>
      </c>
      <c r="D58" s="14">
        <v>0.99999999999991118</v>
      </c>
      <c r="E58" s="14">
        <v>0.99999999999891032</v>
      </c>
      <c r="F58" s="14">
        <v>0.99999999998992573</v>
      </c>
      <c r="G58" s="14">
        <v>0.99999999992517519</v>
      </c>
      <c r="H58" s="14">
        <v>0.99999999953509144</v>
      </c>
      <c r="I58" s="14">
        <v>0.99999999751530755</v>
      </c>
      <c r="J58" s="14">
        <v>0.9999999883427686</v>
      </c>
      <c r="K58" s="14">
        <v>0.99999995123899099</v>
      </c>
      <c r="L58" s="14">
        <v>0.9999998159173521</v>
      </c>
      <c r="M58" s="14">
        <v>0.99999936655524491</v>
      </c>
      <c r="N58" s="14">
        <v>0.99999799688422686</v>
      </c>
      <c r="O58" s="14">
        <v>0.99999413881457955</v>
      </c>
      <c r="P58" s="14">
        <v>0.99998403787903967</v>
      </c>
      <c r="Q58" s="14">
        <v>0.99995933502174417</v>
      </c>
    </row>
    <row r="59" spans="1:17" x14ac:dyDescent="0.15">
      <c r="A59" s="2">
        <v>2.3499999999999956</v>
      </c>
      <c r="B59" s="14">
        <v>1</v>
      </c>
      <c r="C59" s="14">
        <v>0.99999999999999778</v>
      </c>
      <c r="D59" s="14">
        <v>0.99999999999995814</v>
      </c>
      <c r="E59" s="14">
        <v>0.99999999999947609</v>
      </c>
      <c r="F59" s="14">
        <v>0.99999999999505529</v>
      </c>
      <c r="G59" s="14">
        <v>0.9999999999625131</v>
      </c>
      <c r="H59" s="14">
        <v>0.99999999976226972</v>
      </c>
      <c r="I59" s="14">
        <v>0.99999999870327605</v>
      </c>
      <c r="J59" s="14">
        <v>0.99999999379121984</v>
      </c>
      <c r="K59" s="14">
        <v>0.99999997349675462</v>
      </c>
      <c r="L59" s="14">
        <v>0.99999989789780053</v>
      </c>
      <c r="M59" s="14">
        <v>0.99999964148502918</v>
      </c>
      <c r="N59" s="14">
        <v>0.99999884319348797</v>
      </c>
      <c r="O59" s="14">
        <v>0.99999654637797553</v>
      </c>
      <c r="P59" s="14">
        <v>0.99999040397741568</v>
      </c>
      <c r="Q59" s="14">
        <v>0.99997505941374032</v>
      </c>
    </row>
    <row r="60" spans="1:17" x14ac:dyDescent="0.15">
      <c r="A60" s="2">
        <v>2.3999999999999955</v>
      </c>
      <c r="B60" s="14">
        <v>1</v>
      </c>
      <c r="C60" s="14">
        <v>0.999999999999999</v>
      </c>
      <c r="D60" s="14">
        <v>0.99999999999998035</v>
      </c>
      <c r="E60" s="14">
        <v>0.99999999999974842</v>
      </c>
      <c r="F60" s="14">
        <v>0.99999999999757716</v>
      </c>
      <c r="G60" s="14">
        <v>0.99999999998125855</v>
      </c>
      <c r="H60" s="14">
        <v>0.99999999987874144</v>
      </c>
      <c r="I60" s="14">
        <v>0.99999999932522865</v>
      </c>
      <c r="J60" s="14">
        <v>0.99999999670409045</v>
      </c>
      <c r="K60" s="14">
        <v>0.99999998564812886</v>
      </c>
      <c r="L60" s="14">
        <v>0.99999994360164224</v>
      </c>
      <c r="M60" s="14">
        <v>0.99999979800426508</v>
      </c>
      <c r="N60" s="14">
        <v>0.99999933521624118</v>
      </c>
      <c r="O60" s="14">
        <v>0.999997975771869</v>
      </c>
      <c r="P60" s="14">
        <v>0.99999426386342927</v>
      </c>
      <c r="Q60" s="14">
        <v>0.99998479610472213</v>
      </c>
    </row>
    <row r="61" spans="1:17" x14ac:dyDescent="0.15">
      <c r="A61" s="2">
        <v>2.4499999999999953</v>
      </c>
      <c r="B61" s="14">
        <v>1</v>
      </c>
      <c r="C61" s="14">
        <v>0.99999999999999956</v>
      </c>
      <c r="D61" s="14">
        <v>0.99999999999999079</v>
      </c>
      <c r="E61" s="14">
        <v>0.99999999999987932</v>
      </c>
      <c r="F61" s="14">
        <v>0.99999999999881473</v>
      </c>
      <c r="G61" s="14">
        <v>0.99999999999064915</v>
      </c>
      <c r="H61" s="14">
        <v>0.99999999993829869</v>
      </c>
      <c r="I61" s="14">
        <v>0.99999999964985342</v>
      </c>
      <c r="J61" s="14">
        <v>0.99999999825594865</v>
      </c>
      <c r="K61" s="14">
        <v>0.99999999225601255</v>
      </c>
      <c r="L61" s="14">
        <v>0.99999996897033294</v>
      </c>
      <c r="M61" s="14">
        <v>0.99999988668428674</v>
      </c>
      <c r="N61" s="14">
        <v>0.99999961976849094</v>
      </c>
      <c r="O61" s="14">
        <v>0.99999881960164572</v>
      </c>
      <c r="P61" s="14">
        <v>0.99999658987436768</v>
      </c>
      <c r="Q61" s="14">
        <v>0.99999078562321864</v>
      </c>
    </row>
    <row r="62" spans="1:17" x14ac:dyDescent="0.15">
      <c r="A62" s="2">
        <v>2.4999999999999951</v>
      </c>
      <c r="B62" s="14">
        <v>1</v>
      </c>
      <c r="C62" s="14">
        <v>0.99999999999999978</v>
      </c>
      <c r="D62" s="14">
        <v>0.99999999999999567</v>
      </c>
      <c r="E62" s="14">
        <v>0.99999999999994216</v>
      </c>
      <c r="F62" s="14">
        <v>0.99999999999942102</v>
      </c>
      <c r="G62" s="14">
        <v>0.9999999999953435</v>
      </c>
      <c r="H62" s="14">
        <v>0.99999999996867639</v>
      </c>
      <c r="I62" s="14">
        <v>0.99999999981879328</v>
      </c>
      <c r="J62" s="14">
        <v>0.9999999990799493</v>
      </c>
      <c r="K62" s="14">
        <v>0.99999999583584098</v>
      </c>
      <c r="L62" s="14">
        <v>0.99999998299278348</v>
      </c>
      <c r="M62" s="14">
        <v>0.99999993669712506</v>
      </c>
      <c r="N62" s="14">
        <v>0.99999978350783647</v>
      </c>
      <c r="O62" s="14">
        <v>0.99999931503807493</v>
      </c>
      <c r="P62" s="14">
        <v>0.99999798333470902</v>
      </c>
      <c r="Q62" s="14">
        <v>0.99999444690301664</v>
      </c>
    </row>
    <row r="63" spans="1:17" x14ac:dyDescent="0.15">
      <c r="B63" s="14"/>
      <c r="C63" s="14"/>
      <c r="D63" s="14"/>
      <c r="G63" s="14"/>
    </row>
    <row r="64" spans="1:17" x14ac:dyDescent="0.15">
      <c r="B64" s="14"/>
      <c r="C64" s="14"/>
      <c r="D64" s="14"/>
      <c r="G64" s="14"/>
    </row>
    <row r="65" spans="2:7" x14ac:dyDescent="0.15">
      <c r="B65" s="14"/>
      <c r="C65" s="14"/>
      <c r="D65" s="14"/>
      <c r="G65" s="14"/>
    </row>
    <row r="66" spans="2:7" x14ac:dyDescent="0.15">
      <c r="B66" s="14"/>
      <c r="C66" s="14"/>
      <c r="D66" s="14"/>
      <c r="G66" s="14"/>
    </row>
    <row r="67" spans="2:7" x14ac:dyDescent="0.15">
      <c r="B67" s="14"/>
      <c r="C67" s="14"/>
      <c r="D67" s="14"/>
      <c r="G67" s="14"/>
    </row>
    <row r="68" spans="2:7" x14ac:dyDescent="0.15">
      <c r="B68" s="14"/>
      <c r="C68" s="14"/>
      <c r="D68" s="14"/>
      <c r="G68" s="14"/>
    </row>
    <row r="69" spans="2:7" x14ac:dyDescent="0.15">
      <c r="B69" s="14"/>
      <c r="C69" s="14"/>
      <c r="D69" s="14"/>
      <c r="G69" s="14"/>
    </row>
    <row r="70" spans="2:7" x14ac:dyDescent="0.15">
      <c r="B70" s="14"/>
      <c r="C70" s="14"/>
      <c r="D70" s="14"/>
      <c r="G70" s="14"/>
    </row>
    <row r="71" spans="2:7" x14ac:dyDescent="0.15">
      <c r="B71" s="14"/>
      <c r="C71" s="14"/>
      <c r="D71" s="14"/>
      <c r="G71" s="14"/>
    </row>
    <row r="72" spans="2:7" x14ac:dyDescent="0.15">
      <c r="B72" s="14"/>
      <c r="C72" s="14"/>
      <c r="D72" s="14"/>
      <c r="G72" s="14"/>
    </row>
    <row r="73" spans="2:7" x14ac:dyDescent="0.15">
      <c r="B73" s="14"/>
      <c r="C73" s="14"/>
      <c r="D73" s="14"/>
      <c r="G73" s="14"/>
    </row>
    <row r="74" spans="2:7" x14ac:dyDescent="0.15">
      <c r="B74" s="14"/>
      <c r="C74" s="14"/>
      <c r="D74" s="14"/>
      <c r="G74" s="14"/>
    </row>
    <row r="75" spans="2:7" x14ac:dyDescent="0.15">
      <c r="B75" s="14"/>
      <c r="C75" s="14"/>
      <c r="D75" s="14"/>
      <c r="G75" s="14"/>
    </row>
    <row r="76" spans="2:7" x14ac:dyDescent="0.15">
      <c r="B76" s="14"/>
      <c r="C76" s="14"/>
      <c r="D76" s="14"/>
      <c r="G76" s="14"/>
    </row>
    <row r="77" spans="2:7" x14ac:dyDescent="0.15">
      <c r="B77" s="14"/>
      <c r="C77" s="14"/>
      <c r="D77" s="14"/>
      <c r="G77" s="14"/>
    </row>
    <row r="78" spans="2:7" x14ac:dyDescent="0.15">
      <c r="B78" s="14"/>
      <c r="C78" s="14"/>
      <c r="D78" s="14"/>
      <c r="G78" s="14"/>
    </row>
    <row r="79" spans="2:7" x14ac:dyDescent="0.15">
      <c r="B79" s="14"/>
      <c r="C79" s="14"/>
      <c r="D79" s="14"/>
      <c r="G79" s="14"/>
    </row>
    <row r="80" spans="2:7" x14ac:dyDescent="0.15">
      <c r="B80" s="14"/>
      <c r="C80" s="14"/>
      <c r="D80" s="14"/>
      <c r="G80" s="14"/>
    </row>
    <row r="81" spans="2:7" x14ac:dyDescent="0.15">
      <c r="B81" s="14"/>
      <c r="C81" s="14"/>
      <c r="D81" s="14"/>
      <c r="G81" s="14"/>
    </row>
    <row r="82" spans="2:7" x14ac:dyDescent="0.15">
      <c r="B82" s="14"/>
      <c r="C82" s="14"/>
      <c r="D82" s="14"/>
      <c r="G82" s="14"/>
    </row>
    <row r="83" spans="2:7" x14ac:dyDescent="0.15">
      <c r="B83" s="14"/>
      <c r="C83" s="14"/>
      <c r="D83" s="14"/>
      <c r="G83" s="14"/>
    </row>
    <row r="84" spans="2:7" x14ac:dyDescent="0.15">
      <c r="B84" s="14"/>
      <c r="C84" s="14"/>
      <c r="D84" s="14"/>
      <c r="G84" s="14"/>
    </row>
    <row r="85" spans="2:7" x14ac:dyDescent="0.15">
      <c r="B85" s="14"/>
      <c r="C85" s="14"/>
      <c r="D85" s="14"/>
      <c r="G85" s="14"/>
    </row>
    <row r="86" spans="2:7" x14ac:dyDescent="0.15">
      <c r="B86" s="14"/>
      <c r="C86" s="14"/>
      <c r="D86" s="14"/>
      <c r="G86" s="14"/>
    </row>
    <row r="87" spans="2:7" x14ac:dyDescent="0.15">
      <c r="B87" s="14"/>
      <c r="C87" s="14"/>
      <c r="D87" s="14"/>
      <c r="G87" s="14"/>
    </row>
    <row r="88" spans="2:7" x14ac:dyDescent="0.15">
      <c r="B88" s="14"/>
      <c r="C88" s="14"/>
      <c r="D88" s="14"/>
      <c r="G88" s="14"/>
    </row>
    <row r="89" spans="2:7" x14ac:dyDescent="0.15">
      <c r="B89" s="14"/>
      <c r="C89" s="14"/>
      <c r="D89" s="14"/>
      <c r="G89" s="14"/>
    </row>
    <row r="90" spans="2:7" x14ac:dyDescent="0.15">
      <c r="B90" s="14"/>
      <c r="C90" s="14"/>
      <c r="D90" s="14"/>
      <c r="G90" s="14"/>
    </row>
    <row r="91" spans="2:7" x14ac:dyDescent="0.15">
      <c r="B91" s="14"/>
      <c r="C91" s="14"/>
      <c r="D91" s="14"/>
      <c r="G91" s="14"/>
    </row>
    <row r="92" spans="2:7" x14ac:dyDescent="0.15">
      <c r="B92" s="14"/>
      <c r="C92" s="14"/>
      <c r="D92" s="14"/>
      <c r="G92" s="14"/>
    </row>
    <row r="93" spans="2:7" x14ac:dyDescent="0.15">
      <c r="B93" s="14"/>
      <c r="C93" s="14"/>
      <c r="D93" s="14"/>
      <c r="G93" s="14"/>
    </row>
    <row r="94" spans="2:7" x14ac:dyDescent="0.15">
      <c r="B94" s="14"/>
      <c r="C94" s="14"/>
      <c r="D94" s="14"/>
      <c r="G94" s="14"/>
    </row>
    <row r="95" spans="2:7" x14ac:dyDescent="0.15">
      <c r="B95" s="14"/>
      <c r="C95" s="14"/>
      <c r="D95" s="14"/>
      <c r="G95" s="14"/>
    </row>
    <row r="96" spans="2:7" x14ac:dyDescent="0.15">
      <c r="B96" s="14"/>
      <c r="C96" s="14"/>
      <c r="D96" s="14"/>
      <c r="G96" s="14"/>
    </row>
    <row r="97" spans="2:7" x14ac:dyDescent="0.15">
      <c r="B97" s="14"/>
      <c r="C97" s="14"/>
      <c r="D97" s="14"/>
      <c r="G97" s="14"/>
    </row>
    <row r="98" spans="2:7" x14ac:dyDescent="0.15">
      <c r="B98" s="14"/>
      <c r="C98" s="14"/>
      <c r="D98" s="14"/>
      <c r="G98" s="14"/>
    </row>
    <row r="99" spans="2:7" x14ac:dyDescent="0.15">
      <c r="B99" s="14"/>
      <c r="C99" s="14"/>
      <c r="D99" s="14"/>
      <c r="G99" s="14"/>
    </row>
    <row r="100" spans="2:7" x14ac:dyDescent="0.15">
      <c r="B100" s="14"/>
      <c r="C100" s="14"/>
      <c r="D100" s="14"/>
      <c r="G100" s="14"/>
    </row>
    <row r="101" spans="2:7" x14ac:dyDescent="0.15">
      <c r="B101" s="14"/>
      <c r="C101" s="14"/>
      <c r="D101" s="14"/>
      <c r="G101" s="14"/>
    </row>
    <row r="102" spans="2:7" x14ac:dyDescent="0.15">
      <c r="B102" s="14"/>
      <c r="C102" s="14"/>
      <c r="D102" s="14"/>
      <c r="G102" s="14"/>
    </row>
    <row r="103" spans="2:7" x14ac:dyDescent="0.15">
      <c r="B103" s="14"/>
      <c r="C103" s="14"/>
      <c r="D103" s="14"/>
      <c r="G103" s="14"/>
    </row>
    <row r="104" spans="2:7" x14ac:dyDescent="0.15">
      <c r="B104" s="14"/>
      <c r="C104" s="14"/>
      <c r="D104" s="14"/>
      <c r="G104" s="14"/>
    </row>
    <row r="105" spans="2:7" x14ac:dyDescent="0.15">
      <c r="B105" s="14"/>
      <c r="C105" s="14"/>
      <c r="D105" s="14"/>
      <c r="G105" s="14"/>
    </row>
    <row r="106" spans="2:7" x14ac:dyDescent="0.15">
      <c r="B106" s="14"/>
      <c r="C106" s="14"/>
      <c r="D106" s="14"/>
      <c r="G106" s="14"/>
    </row>
    <row r="107" spans="2:7" x14ac:dyDescent="0.15">
      <c r="B107" s="14"/>
      <c r="C107" s="14"/>
      <c r="D107" s="14"/>
      <c r="G107" s="14"/>
    </row>
    <row r="108" spans="2:7" x14ac:dyDescent="0.15">
      <c r="B108" s="14"/>
      <c r="C108" s="14"/>
      <c r="D108" s="14"/>
      <c r="G108" s="14"/>
    </row>
    <row r="109" spans="2:7" x14ac:dyDescent="0.15">
      <c r="B109" s="14"/>
      <c r="C109" s="14"/>
      <c r="D109" s="14"/>
      <c r="G109" s="14"/>
    </row>
    <row r="110" spans="2:7" x14ac:dyDescent="0.15">
      <c r="B110" s="14"/>
      <c r="C110" s="14"/>
      <c r="D110" s="14"/>
      <c r="G110" s="14"/>
    </row>
    <row r="111" spans="2:7" x14ac:dyDescent="0.15">
      <c r="B111" s="14"/>
      <c r="C111" s="14"/>
      <c r="D111" s="14"/>
      <c r="G111" s="14"/>
    </row>
    <row r="112" spans="2:7" x14ac:dyDescent="0.15">
      <c r="B112" s="14"/>
      <c r="C112" s="14"/>
      <c r="D112" s="14"/>
      <c r="G112" s="14"/>
    </row>
    <row r="113" spans="2:7" x14ac:dyDescent="0.15">
      <c r="B113" s="14"/>
      <c r="C113" s="14"/>
      <c r="D113" s="14"/>
      <c r="G113" s="14"/>
    </row>
    <row r="114" spans="2:7" x14ac:dyDescent="0.15">
      <c r="B114" s="14"/>
      <c r="C114" s="14"/>
      <c r="D114" s="14"/>
      <c r="G114" s="14"/>
    </row>
    <row r="115" spans="2:7" x14ac:dyDescent="0.15">
      <c r="B115" s="14"/>
      <c r="C115" s="14"/>
      <c r="D115" s="14"/>
      <c r="G115" s="14"/>
    </row>
    <row r="116" spans="2:7" x14ac:dyDescent="0.15">
      <c r="B116" s="14"/>
      <c r="C116" s="14"/>
      <c r="D116" s="14"/>
      <c r="G116" s="14"/>
    </row>
    <row r="117" spans="2:7" x14ac:dyDescent="0.15">
      <c r="B117" s="14"/>
      <c r="C117" s="14"/>
      <c r="D117" s="14"/>
      <c r="G117" s="14"/>
    </row>
    <row r="118" spans="2:7" x14ac:dyDescent="0.15">
      <c r="B118" s="14"/>
      <c r="C118" s="14"/>
      <c r="D118" s="14"/>
      <c r="G118" s="14"/>
    </row>
    <row r="119" spans="2:7" x14ac:dyDescent="0.15">
      <c r="B119" s="14"/>
      <c r="C119" s="14"/>
      <c r="D119" s="14"/>
      <c r="G119" s="14"/>
    </row>
    <row r="120" spans="2:7" x14ac:dyDescent="0.15">
      <c r="B120" s="14"/>
      <c r="C120" s="14"/>
      <c r="D120" s="14"/>
      <c r="G120" s="14"/>
    </row>
    <row r="121" spans="2:7" x14ac:dyDescent="0.15">
      <c r="B121" s="14"/>
      <c r="C121" s="14"/>
      <c r="D121" s="14"/>
      <c r="G121" s="14"/>
    </row>
    <row r="122" spans="2:7" x14ac:dyDescent="0.15">
      <c r="B122" s="14"/>
      <c r="C122" s="14"/>
      <c r="D122" s="14"/>
      <c r="G122" s="14"/>
    </row>
    <row r="123" spans="2:7" x14ac:dyDescent="0.15">
      <c r="B123" s="14"/>
      <c r="C123" s="14"/>
      <c r="D123" s="14"/>
      <c r="G123" s="14"/>
    </row>
    <row r="124" spans="2:7" x14ac:dyDescent="0.15">
      <c r="B124" s="14"/>
      <c r="C124" s="14"/>
      <c r="D124" s="14"/>
      <c r="G124" s="14"/>
    </row>
    <row r="125" spans="2:7" x14ac:dyDescent="0.15">
      <c r="B125" s="14"/>
      <c r="C125" s="14"/>
      <c r="D125" s="14"/>
      <c r="G125" s="14"/>
    </row>
    <row r="126" spans="2:7" x14ac:dyDescent="0.15">
      <c r="B126" s="14"/>
      <c r="C126" s="14"/>
      <c r="D126" s="14"/>
      <c r="G126" s="14"/>
    </row>
    <row r="127" spans="2:7" x14ac:dyDescent="0.15">
      <c r="B127" s="14"/>
      <c r="C127" s="14"/>
      <c r="D127" s="14"/>
      <c r="G127" s="14"/>
    </row>
    <row r="128" spans="2:7" x14ac:dyDescent="0.15">
      <c r="B128" s="14"/>
      <c r="C128" s="14"/>
      <c r="D128" s="14"/>
      <c r="G128" s="14"/>
    </row>
    <row r="129" spans="2:7" x14ac:dyDescent="0.15">
      <c r="B129" s="14"/>
      <c r="C129" s="14"/>
      <c r="D129" s="14"/>
      <c r="G129" s="14"/>
    </row>
    <row r="130" spans="2:7" x14ac:dyDescent="0.15">
      <c r="B130" s="14"/>
      <c r="C130" s="14"/>
      <c r="D130" s="14"/>
      <c r="G130" s="14"/>
    </row>
    <row r="131" spans="2:7" x14ac:dyDescent="0.15">
      <c r="B131" s="14"/>
      <c r="C131" s="14"/>
      <c r="D131" s="14"/>
      <c r="G131" s="14"/>
    </row>
    <row r="132" spans="2:7" x14ac:dyDescent="0.15">
      <c r="B132" s="14"/>
      <c r="C132" s="14"/>
      <c r="D132" s="14"/>
      <c r="G132" s="14"/>
    </row>
    <row r="133" spans="2:7" x14ac:dyDescent="0.15">
      <c r="B133" s="14"/>
      <c r="C133" s="14"/>
      <c r="D133" s="14"/>
      <c r="G133" s="14"/>
    </row>
    <row r="134" spans="2:7" x14ac:dyDescent="0.15">
      <c r="B134" s="14"/>
      <c r="C134" s="14"/>
      <c r="D134" s="14"/>
      <c r="G134" s="14"/>
    </row>
    <row r="135" spans="2:7" x14ac:dyDescent="0.15">
      <c r="B135" s="14"/>
      <c r="C135" s="14"/>
      <c r="D135" s="14"/>
      <c r="G135" s="14"/>
    </row>
    <row r="136" spans="2:7" x14ac:dyDescent="0.15">
      <c r="B136" s="14"/>
      <c r="C136" s="14"/>
      <c r="D136" s="14"/>
      <c r="G136" s="14"/>
    </row>
    <row r="137" spans="2:7" x14ac:dyDescent="0.15">
      <c r="B137" s="14"/>
      <c r="C137" s="14"/>
      <c r="D137" s="14"/>
      <c r="G137" s="14"/>
    </row>
    <row r="138" spans="2:7" x14ac:dyDescent="0.15">
      <c r="B138" s="14"/>
      <c r="C138" s="14"/>
      <c r="D138" s="14"/>
      <c r="G138" s="14"/>
    </row>
    <row r="139" spans="2:7" x14ac:dyDescent="0.15">
      <c r="B139" s="14"/>
      <c r="C139" s="14"/>
      <c r="D139" s="14"/>
      <c r="G139" s="14"/>
    </row>
    <row r="140" spans="2:7" x14ac:dyDescent="0.15">
      <c r="B140" s="14"/>
      <c r="C140" s="14"/>
      <c r="D140" s="14"/>
      <c r="G140" s="14"/>
    </row>
    <row r="141" spans="2:7" x14ac:dyDescent="0.15">
      <c r="B141" s="14"/>
      <c r="C141" s="14"/>
      <c r="D141" s="14"/>
      <c r="G141" s="14"/>
    </row>
    <row r="142" spans="2:7" x14ac:dyDescent="0.15">
      <c r="B142" s="14"/>
      <c r="C142" s="14"/>
      <c r="D142" s="14"/>
      <c r="G142" s="14"/>
    </row>
    <row r="143" spans="2:7" x14ac:dyDescent="0.15">
      <c r="B143" s="14"/>
      <c r="C143" s="14"/>
      <c r="D143" s="14"/>
      <c r="G143" s="14"/>
    </row>
    <row r="144" spans="2:7" x14ac:dyDescent="0.15">
      <c r="B144" s="14"/>
      <c r="C144" s="14"/>
      <c r="D144" s="14"/>
      <c r="G144" s="14"/>
    </row>
    <row r="145" spans="2:7" x14ac:dyDescent="0.15">
      <c r="B145" s="14"/>
      <c r="C145" s="14"/>
      <c r="D145" s="14"/>
      <c r="G145" s="14"/>
    </row>
    <row r="146" spans="2:7" x14ac:dyDescent="0.15">
      <c r="B146" s="14"/>
      <c r="C146" s="14"/>
      <c r="D146" s="14"/>
      <c r="G146" s="14"/>
    </row>
    <row r="147" spans="2:7" x14ac:dyDescent="0.15">
      <c r="B147" s="14"/>
      <c r="C147" s="14"/>
      <c r="D147" s="14"/>
      <c r="G147" s="14"/>
    </row>
    <row r="148" spans="2:7" x14ac:dyDescent="0.15">
      <c r="B148" s="14"/>
      <c r="C148" s="14"/>
      <c r="D148" s="14"/>
      <c r="G148" s="14"/>
    </row>
    <row r="149" spans="2:7" x14ac:dyDescent="0.15">
      <c r="B149" s="14"/>
      <c r="C149" s="14"/>
      <c r="D149" s="14"/>
      <c r="G149" s="14"/>
    </row>
    <row r="150" spans="2:7" x14ac:dyDescent="0.15">
      <c r="B150" s="14"/>
      <c r="C150" s="14"/>
      <c r="D150" s="14"/>
      <c r="G150" s="14"/>
    </row>
    <row r="151" spans="2:7" x14ac:dyDescent="0.15">
      <c r="B151" s="14"/>
      <c r="C151" s="14"/>
      <c r="D151" s="14"/>
      <c r="G151" s="14"/>
    </row>
    <row r="152" spans="2:7" x14ac:dyDescent="0.15">
      <c r="B152" s="14"/>
      <c r="C152" s="14"/>
      <c r="D152" s="14"/>
      <c r="G152" s="14"/>
    </row>
    <row r="153" spans="2:7" x14ac:dyDescent="0.15">
      <c r="B153" s="14"/>
      <c r="C153" s="14"/>
      <c r="D153" s="14"/>
      <c r="G153" s="14"/>
    </row>
    <row r="154" spans="2:7" x14ac:dyDescent="0.15">
      <c r="B154" s="14"/>
      <c r="C154" s="14"/>
      <c r="D154" s="14"/>
      <c r="G154" s="14"/>
    </row>
    <row r="155" spans="2:7" x14ac:dyDescent="0.15">
      <c r="B155" s="14"/>
      <c r="C155" s="14"/>
      <c r="D155" s="14"/>
      <c r="G155" s="14"/>
    </row>
    <row r="156" spans="2:7" x14ac:dyDescent="0.15">
      <c r="B156" s="14"/>
      <c r="C156" s="14"/>
      <c r="D156" s="14"/>
      <c r="G156" s="14"/>
    </row>
    <row r="157" spans="2:7" x14ac:dyDescent="0.15">
      <c r="B157" s="14"/>
      <c r="C157" s="14"/>
      <c r="D157" s="14"/>
      <c r="G157" s="14"/>
    </row>
    <row r="158" spans="2:7" x14ac:dyDescent="0.15">
      <c r="B158" s="14"/>
      <c r="C158" s="14"/>
      <c r="D158" s="14"/>
      <c r="G158" s="14"/>
    </row>
    <row r="159" spans="2:7" x14ac:dyDescent="0.15">
      <c r="B159" s="14"/>
      <c r="C159" s="14"/>
      <c r="D159" s="14"/>
      <c r="G159" s="14"/>
    </row>
    <row r="160" spans="2:7" x14ac:dyDescent="0.15">
      <c r="B160" s="14"/>
      <c r="C160" s="14"/>
      <c r="D160" s="14"/>
      <c r="G160" s="14"/>
    </row>
    <row r="161" spans="2:7" x14ac:dyDescent="0.15">
      <c r="B161" s="14"/>
      <c r="C161" s="14"/>
      <c r="D161" s="14"/>
      <c r="G161" s="14"/>
    </row>
    <row r="162" spans="2:7" x14ac:dyDescent="0.15">
      <c r="B162" s="14"/>
      <c r="C162" s="14"/>
      <c r="D162" s="14"/>
      <c r="G162" s="14"/>
    </row>
    <row r="163" spans="2:7" x14ac:dyDescent="0.15">
      <c r="B163" s="14"/>
      <c r="C163" s="14"/>
      <c r="D163" s="14"/>
      <c r="G163" s="14"/>
    </row>
    <row r="164" spans="2:7" x14ac:dyDescent="0.15">
      <c r="B164" s="14"/>
      <c r="C164" s="14"/>
      <c r="D164" s="14"/>
      <c r="G164" s="14"/>
    </row>
    <row r="165" spans="2:7" x14ac:dyDescent="0.15">
      <c r="B165" s="14"/>
      <c r="C165" s="14"/>
      <c r="D165" s="14"/>
      <c r="G165" s="14"/>
    </row>
    <row r="166" spans="2:7" x14ac:dyDescent="0.15">
      <c r="B166" s="14"/>
      <c r="C166" s="14"/>
      <c r="D166" s="14"/>
      <c r="G166" s="14"/>
    </row>
    <row r="167" spans="2:7" x14ac:dyDescent="0.15">
      <c r="B167" s="14"/>
      <c r="C167" s="14"/>
      <c r="D167" s="14"/>
      <c r="G167" s="14"/>
    </row>
    <row r="168" spans="2:7" x14ac:dyDescent="0.15">
      <c r="B168" s="14"/>
      <c r="C168" s="14"/>
      <c r="D168" s="14"/>
      <c r="G168" s="14"/>
    </row>
    <row r="169" spans="2:7" x14ac:dyDescent="0.15">
      <c r="B169" s="14"/>
      <c r="C169" s="14"/>
      <c r="D169" s="14"/>
      <c r="G169" s="14"/>
    </row>
    <row r="170" spans="2:7" x14ac:dyDescent="0.15">
      <c r="B170" s="14"/>
      <c r="C170" s="14"/>
      <c r="D170" s="14"/>
      <c r="G170" s="14"/>
    </row>
    <row r="171" spans="2:7" x14ac:dyDescent="0.15">
      <c r="B171" s="14"/>
      <c r="C171" s="14"/>
      <c r="D171" s="14"/>
      <c r="G171" s="14"/>
    </row>
    <row r="172" spans="2:7" x14ac:dyDescent="0.15">
      <c r="B172" s="14"/>
      <c r="C172" s="14"/>
      <c r="D172" s="14"/>
      <c r="G172" s="14"/>
    </row>
    <row r="173" spans="2:7" x14ac:dyDescent="0.15">
      <c r="B173" s="14"/>
      <c r="C173" s="14"/>
      <c r="D173" s="14"/>
      <c r="G173" s="14"/>
    </row>
    <row r="174" spans="2:7" x14ac:dyDescent="0.15">
      <c r="G174" s="14"/>
    </row>
    <row r="175" spans="2:7" x14ac:dyDescent="0.15">
      <c r="G175" s="14"/>
    </row>
    <row r="176" spans="2:7" x14ac:dyDescent="0.15">
      <c r="G176" s="14"/>
    </row>
    <row r="177" spans="7:7" x14ac:dyDescent="0.15">
      <c r="G177" s="14"/>
    </row>
    <row r="178" spans="7:7" x14ac:dyDescent="0.15">
      <c r="G178" s="14"/>
    </row>
    <row r="179" spans="7:7" x14ac:dyDescent="0.15">
      <c r="G179" s="14"/>
    </row>
    <row r="180" spans="7:7" x14ac:dyDescent="0.15">
      <c r="G180" s="14"/>
    </row>
    <row r="181" spans="7:7" x14ac:dyDescent="0.15">
      <c r="G181" s="14"/>
    </row>
    <row r="182" spans="7:7" x14ac:dyDescent="0.15">
      <c r="G182" s="14"/>
    </row>
    <row r="183" spans="7:7" x14ac:dyDescent="0.15">
      <c r="G183" s="14"/>
    </row>
    <row r="184" spans="7:7" x14ac:dyDescent="0.15">
      <c r="G184" s="14"/>
    </row>
    <row r="185" spans="7:7" x14ac:dyDescent="0.15">
      <c r="G185" s="14"/>
    </row>
    <row r="186" spans="7:7" x14ac:dyDescent="0.15">
      <c r="G186" s="14"/>
    </row>
    <row r="187" spans="7:7" x14ac:dyDescent="0.15">
      <c r="G187" s="14"/>
    </row>
    <row r="188" spans="7:7" x14ac:dyDescent="0.15">
      <c r="G188" s="14"/>
    </row>
    <row r="189" spans="7:7" x14ac:dyDescent="0.15">
      <c r="G189" s="14"/>
    </row>
    <row r="190" spans="7:7" x14ac:dyDescent="0.15">
      <c r="G190" s="14"/>
    </row>
    <row r="191" spans="7:7" x14ac:dyDescent="0.15">
      <c r="G191" s="14"/>
    </row>
    <row r="192" spans="7:7" x14ac:dyDescent="0.15">
      <c r="G192" s="14"/>
    </row>
    <row r="193" spans="7:7" x14ac:dyDescent="0.15">
      <c r="G193" s="14"/>
    </row>
    <row r="194" spans="7:7" x14ac:dyDescent="0.15">
      <c r="G194" s="14"/>
    </row>
    <row r="195" spans="7:7" x14ac:dyDescent="0.15">
      <c r="G195" s="14"/>
    </row>
    <row r="196" spans="7:7" x14ac:dyDescent="0.15">
      <c r="G196" s="14"/>
    </row>
    <row r="197" spans="7:7" x14ac:dyDescent="0.15">
      <c r="G197" s="14"/>
    </row>
    <row r="198" spans="7:7" x14ac:dyDescent="0.15">
      <c r="G198" s="14"/>
    </row>
    <row r="199" spans="7:7" x14ac:dyDescent="0.15">
      <c r="G199" s="14"/>
    </row>
    <row r="200" spans="7:7" x14ac:dyDescent="0.15">
      <c r="G200" s="14"/>
    </row>
    <row r="201" spans="7:7" x14ac:dyDescent="0.15">
      <c r="G201" s="14"/>
    </row>
    <row r="202" spans="7:7" x14ac:dyDescent="0.15">
      <c r="G202" s="14"/>
    </row>
    <row r="203" spans="7:7" x14ac:dyDescent="0.15">
      <c r="G203" s="14"/>
    </row>
    <row r="204" spans="7:7" x14ac:dyDescent="0.15">
      <c r="G204" s="14"/>
    </row>
    <row r="205" spans="7:7" x14ac:dyDescent="0.15">
      <c r="G205" s="14"/>
    </row>
    <row r="206" spans="7:7" x14ac:dyDescent="0.15">
      <c r="G206" s="14"/>
    </row>
    <row r="207" spans="7:7" x14ac:dyDescent="0.15">
      <c r="G207" s="14"/>
    </row>
    <row r="208" spans="7:7" x14ac:dyDescent="0.15">
      <c r="G208" s="14"/>
    </row>
    <row r="209" spans="7:7" x14ac:dyDescent="0.15">
      <c r="G209" s="14"/>
    </row>
    <row r="210" spans="7:7" x14ac:dyDescent="0.15">
      <c r="G210" s="14"/>
    </row>
    <row r="211" spans="7:7" x14ac:dyDescent="0.15">
      <c r="G211" s="14"/>
    </row>
    <row r="212" spans="7:7" x14ac:dyDescent="0.15">
      <c r="G212" s="14"/>
    </row>
    <row r="213" spans="7:7" x14ac:dyDescent="0.15">
      <c r="G213" s="14"/>
    </row>
    <row r="214" spans="7:7" x14ac:dyDescent="0.15">
      <c r="G214" s="14"/>
    </row>
    <row r="215" spans="7:7" x14ac:dyDescent="0.15">
      <c r="G215" s="14"/>
    </row>
    <row r="216" spans="7:7" x14ac:dyDescent="0.15">
      <c r="G216" s="14"/>
    </row>
    <row r="217" spans="7:7" x14ac:dyDescent="0.15">
      <c r="G217" s="14"/>
    </row>
    <row r="218" spans="7:7" x14ac:dyDescent="0.15">
      <c r="G218" s="14"/>
    </row>
    <row r="219" spans="7:7" x14ac:dyDescent="0.15">
      <c r="G219" s="14"/>
    </row>
    <row r="220" spans="7:7" x14ac:dyDescent="0.15">
      <c r="G220" s="14"/>
    </row>
    <row r="221" spans="7:7" x14ac:dyDescent="0.15">
      <c r="G221" s="14"/>
    </row>
    <row r="222" spans="7:7" x14ac:dyDescent="0.15">
      <c r="G222" s="14"/>
    </row>
    <row r="223" spans="7:7" x14ac:dyDescent="0.15">
      <c r="G223" s="14"/>
    </row>
    <row r="224" spans="7:7" x14ac:dyDescent="0.15">
      <c r="G224" s="14"/>
    </row>
    <row r="225" spans="7:7" x14ac:dyDescent="0.15">
      <c r="G225" s="14"/>
    </row>
    <row r="226" spans="7:7" x14ac:dyDescent="0.15">
      <c r="G226" s="14"/>
    </row>
    <row r="227" spans="7:7" x14ac:dyDescent="0.15">
      <c r="G227" s="14"/>
    </row>
    <row r="228" spans="7:7" x14ac:dyDescent="0.15">
      <c r="G228" s="14"/>
    </row>
    <row r="229" spans="7:7" x14ac:dyDescent="0.15">
      <c r="G229" s="14"/>
    </row>
    <row r="230" spans="7:7" x14ac:dyDescent="0.15">
      <c r="G230" s="14"/>
    </row>
    <row r="231" spans="7:7" x14ac:dyDescent="0.15">
      <c r="G231" s="14"/>
    </row>
    <row r="232" spans="7:7" x14ac:dyDescent="0.15">
      <c r="G232" s="14"/>
    </row>
    <row r="233" spans="7:7" x14ac:dyDescent="0.15">
      <c r="G233" s="14"/>
    </row>
    <row r="234" spans="7:7" x14ac:dyDescent="0.15">
      <c r="G234" s="14"/>
    </row>
    <row r="235" spans="7:7" x14ac:dyDescent="0.15">
      <c r="G235" s="14"/>
    </row>
    <row r="236" spans="7:7" x14ac:dyDescent="0.15">
      <c r="G236" s="14"/>
    </row>
    <row r="237" spans="7:7" x14ac:dyDescent="0.15">
      <c r="G237" s="14"/>
    </row>
    <row r="238" spans="7:7" x14ac:dyDescent="0.15">
      <c r="G238" s="14"/>
    </row>
    <row r="239" spans="7:7" x14ac:dyDescent="0.15">
      <c r="G239" s="14"/>
    </row>
    <row r="240" spans="7:7" x14ac:dyDescent="0.15">
      <c r="G240" s="14"/>
    </row>
    <row r="241" spans="7:7" x14ac:dyDescent="0.15">
      <c r="G241" s="14"/>
    </row>
    <row r="242" spans="7:7" x14ac:dyDescent="0.15">
      <c r="G242" s="14"/>
    </row>
    <row r="243" spans="7:7" x14ac:dyDescent="0.15">
      <c r="G243" s="14"/>
    </row>
    <row r="244" spans="7:7" x14ac:dyDescent="0.15">
      <c r="G244" s="14"/>
    </row>
    <row r="245" spans="7:7" x14ac:dyDescent="0.15">
      <c r="G245" s="14"/>
    </row>
    <row r="246" spans="7:7" x14ac:dyDescent="0.15">
      <c r="G246" s="14"/>
    </row>
    <row r="247" spans="7:7" x14ac:dyDescent="0.15">
      <c r="G247" s="14"/>
    </row>
    <row r="248" spans="7:7" x14ac:dyDescent="0.15">
      <c r="G248" s="14"/>
    </row>
    <row r="249" spans="7:7" x14ac:dyDescent="0.15">
      <c r="G249" s="14"/>
    </row>
    <row r="250" spans="7:7" x14ac:dyDescent="0.15">
      <c r="G250" s="14"/>
    </row>
    <row r="251" spans="7:7" x14ac:dyDescent="0.15">
      <c r="G251" s="14"/>
    </row>
    <row r="252" spans="7:7" x14ac:dyDescent="0.15">
      <c r="G252" s="14"/>
    </row>
    <row r="253" spans="7:7" x14ac:dyDescent="0.15">
      <c r="G253" s="14"/>
    </row>
    <row r="254" spans="7:7" x14ac:dyDescent="0.15">
      <c r="G254" s="14"/>
    </row>
    <row r="255" spans="7:7" x14ac:dyDescent="0.15">
      <c r="G255" s="14"/>
    </row>
    <row r="256" spans="7:7" x14ac:dyDescent="0.15">
      <c r="G256" s="14"/>
    </row>
    <row r="257" spans="7:7" x14ac:dyDescent="0.15">
      <c r="G257" s="14"/>
    </row>
    <row r="258" spans="7:7" x14ac:dyDescent="0.15">
      <c r="G258" s="14"/>
    </row>
    <row r="259" spans="7:7" x14ac:dyDescent="0.15">
      <c r="G259" s="14"/>
    </row>
    <row r="260" spans="7:7" x14ac:dyDescent="0.15">
      <c r="G260" s="14"/>
    </row>
    <row r="261" spans="7:7" x14ac:dyDescent="0.15">
      <c r="G261" s="14"/>
    </row>
    <row r="262" spans="7:7" x14ac:dyDescent="0.15">
      <c r="G262" s="14"/>
    </row>
    <row r="263" spans="7:7" x14ac:dyDescent="0.15">
      <c r="G263" s="14"/>
    </row>
    <row r="264" spans="7:7" x14ac:dyDescent="0.15">
      <c r="G264" s="14"/>
    </row>
    <row r="265" spans="7:7" x14ac:dyDescent="0.15">
      <c r="G265" s="14"/>
    </row>
    <row r="266" spans="7:7" x14ac:dyDescent="0.15">
      <c r="G266" s="14"/>
    </row>
    <row r="267" spans="7:7" x14ac:dyDescent="0.15">
      <c r="G267" s="14"/>
    </row>
    <row r="268" spans="7:7" x14ac:dyDescent="0.15">
      <c r="G268" s="14"/>
    </row>
    <row r="269" spans="7:7" x14ac:dyDescent="0.15">
      <c r="G269" s="14"/>
    </row>
    <row r="270" spans="7:7" x14ac:dyDescent="0.15">
      <c r="G270" s="14"/>
    </row>
    <row r="271" spans="7:7" x14ac:dyDescent="0.15">
      <c r="G271" s="14"/>
    </row>
    <row r="272" spans="7:7" x14ac:dyDescent="0.15">
      <c r="G272" s="14"/>
    </row>
    <row r="273" spans="7:7" x14ac:dyDescent="0.15">
      <c r="G273" s="14"/>
    </row>
    <row r="274" spans="7:7" x14ac:dyDescent="0.15">
      <c r="G274" s="14"/>
    </row>
    <row r="275" spans="7:7" x14ac:dyDescent="0.15">
      <c r="G275" s="14"/>
    </row>
    <row r="276" spans="7:7" x14ac:dyDescent="0.15">
      <c r="G276" s="14"/>
    </row>
    <row r="277" spans="7:7" x14ac:dyDescent="0.15">
      <c r="G277" s="14"/>
    </row>
    <row r="278" spans="7:7" x14ac:dyDescent="0.15">
      <c r="G278" s="14"/>
    </row>
    <row r="279" spans="7:7" x14ac:dyDescent="0.15">
      <c r="G279" s="14"/>
    </row>
    <row r="280" spans="7:7" x14ac:dyDescent="0.15">
      <c r="G280" s="14"/>
    </row>
    <row r="281" spans="7:7" x14ac:dyDescent="0.15">
      <c r="G281" s="14"/>
    </row>
    <row r="282" spans="7:7" x14ac:dyDescent="0.15">
      <c r="G282" s="14"/>
    </row>
    <row r="283" spans="7:7" x14ac:dyDescent="0.15">
      <c r="G283" s="14"/>
    </row>
    <row r="284" spans="7:7" x14ac:dyDescent="0.15">
      <c r="G284" s="14"/>
    </row>
    <row r="285" spans="7:7" x14ac:dyDescent="0.15">
      <c r="G285" s="14"/>
    </row>
    <row r="286" spans="7:7" x14ac:dyDescent="0.15">
      <c r="G286" s="14"/>
    </row>
    <row r="287" spans="7:7" x14ac:dyDescent="0.15">
      <c r="G287" s="14"/>
    </row>
    <row r="288" spans="7:7" x14ac:dyDescent="0.15">
      <c r="G288" s="14"/>
    </row>
    <row r="289" spans="7:7" x14ac:dyDescent="0.15">
      <c r="G289" s="14"/>
    </row>
    <row r="290" spans="7:7" x14ac:dyDescent="0.15">
      <c r="G290" s="14"/>
    </row>
    <row r="291" spans="7:7" x14ac:dyDescent="0.15">
      <c r="G291" s="14"/>
    </row>
    <row r="292" spans="7:7" x14ac:dyDescent="0.15">
      <c r="G292" s="14"/>
    </row>
    <row r="293" spans="7:7" x14ac:dyDescent="0.15">
      <c r="G293" s="14"/>
    </row>
    <row r="294" spans="7:7" x14ac:dyDescent="0.15">
      <c r="G294" s="14"/>
    </row>
    <row r="295" spans="7:7" x14ac:dyDescent="0.15">
      <c r="G295" s="14"/>
    </row>
    <row r="296" spans="7:7" x14ac:dyDescent="0.15">
      <c r="G296" s="14"/>
    </row>
    <row r="297" spans="7:7" x14ac:dyDescent="0.15">
      <c r="G297" s="14"/>
    </row>
    <row r="298" spans="7:7" x14ac:dyDescent="0.15">
      <c r="G298" s="14"/>
    </row>
    <row r="299" spans="7:7" x14ac:dyDescent="0.15">
      <c r="G299" s="14"/>
    </row>
    <row r="300" spans="7:7" x14ac:dyDescent="0.15">
      <c r="G300" s="14"/>
    </row>
    <row r="301" spans="7:7" x14ac:dyDescent="0.15">
      <c r="G301" s="14"/>
    </row>
    <row r="302" spans="7:7" x14ac:dyDescent="0.15">
      <c r="G302" s="14"/>
    </row>
    <row r="303" spans="7:7" x14ac:dyDescent="0.15">
      <c r="G303" s="14"/>
    </row>
    <row r="304" spans="7:7" x14ac:dyDescent="0.15">
      <c r="G304" s="14"/>
    </row>
    <row r="305" spans="7:7" x14ac:dyDescent="0.15">
      <c r="G305" s="14"/>
    </row>
    <row r="306" spans="7:7" x14ac:dyDescent="0.15">
      <c r="G306" s="14"/>
    </row>
    <row r="307" spans="7:7" x14ac:dyDescent="0.15">
      <c r="G307" s="14"/>
    </row>
    <row r="308" spans="7:7" x14ac:dyDescent="0.15">
      <c r="G308" s="14"/>
    </row>
    <row r="309" spans="7:7" x14ac:dyDescent="0.15">
      <c r="G309" s="14"/>
    </row>
    <row r="310" spans="7:7" x14ac:dyDescent="0.15">
      <c r="G310" s="14"/>
    </row>
    <row r="311" spans="7:7" x14ac:dyDescent="0.15">
      <c r="G311" s="14"/>
    </row>
    <row r="312" spans="7:7" x14ac:dyDescent="0.15">
      <c r="G312" s="14"/>
    </row>
    <row r="313" spans="7:7" x14ac:dyDescent="0.15">
      <c r="G313" s="14"/>
    </row>
    <row r="314" spans="7:7" x14ac:dyDescent="0.15">
      <c r="G314" s="14"/>
    </row>
    <row r="315" spans="7:7" x14ac:dyDescent="0.15">
      <c r="G315" s="14"/>
    </row>
    <row r="316" spans="7:7" x14ac:dyDescent="0.15">
      <c r="G316" s="14"/>
    </row>
    <row r="317" spans="7:7" x14ac:dyDescent="0.15">
      <c r="G317" s="14"/>
    </row>
    <row r="318" spans="7:7" x14ac:dyDescent="0.15">
      <c r="G318" s="14"/>
    </row>
    <row r="319" spans="7:7" x14ac:dyDescent="0.15">
      <c r="G319" s="14"/>
    </row>
    <row r="320" spans="7:7" x14ac:dyDescent="0.15">
      <c r="G320" s="14"/>
    </row>
    <row r="321" spans="7:7" x14ac:dyDescent="0.15">
      <c r="G321" s="14"/>
    </row>
    <row r="322" spans="7:7" x14ac:dyDescent="0.15">
      <c r="G322" s="14"/>
    </row>
    <row r="323" spans="7:7" x14ac:dyDescent="0.15">
      <c r="G323" s="14"/>
    </row>
    <row r="324" spans="7:7" x14ac:dyDescent="0.15">
      <c r="G324" s="14"/>
    </row>
    <row r="325" spans="7:7" x14ac:dyDescent="0.15">
      <c r="G325" s="14"/>
    </row>
    <row r="326" spans="7:7" x14ac:dyDescent="0.15">
      <c r="G326" s="14"/>
    </row>
    <row r="327" spans="7:7" x14ac:dyDescent="0.15">
      <c r="G327" s="14"/>
    </row>
    <row r="328" spans="7:7" x14ac:dyDescent="0.15">
      <c r="G328" s="14"/>
    </row>
    <row r="329" spans="7:7" x14ac:dyDescent="0.15">
      <c r="G329" s="14"/>
    </row>
    <row r="330" spans="7:7" x14ac:dyDescent="0.15">
      <c r="G330" s="14"/>
    </row>
    <row r="331" spans="7:7" x14ac:dyDescent="0.15">
      <c r="G331" s="14"/>
    </row>
    <row r="332" spans="7:7" x14ac:dyDescent="0.15">
      <c r="G332" s="14"/>
    </row>
    <row r="333" spans="7:7" x14ac:dyDescent="0.15">
      <c r="G333" s="14"/>
    </row>
    <row r="334" spans="7:7" x14ac:dyDescent="0.15">
      <c r="G334" s="14"/>
    </row>
    <row r="335" spans="7:7" x14ac:dyDescent="0.15">
      <c r="G335" s="14"/>
    </row>
    <row r="336" spans="7:7" x14ac:dyDescent="0.15">
      <c r="G336" s="14"/>
    </row>
    <row r="337" spans="7:7" x14ac:dyDescent="0.15">
      <c r="G337" s="14"/>
    </row>
    <row r="338" spans="7:7" x14ac:dyDescent="0.15">
      <c r="G338" s="14"/>
    </row>
    <row r="339" spans="7:7" x14ac:dyDescent="0.15">
      <c r="G339" s="14"/>
    </row>
    <row r="340" spans="7:7" x14ac:dyDescent="0.15">
      <c r="G340" s="14"/>
    </row>
    <row r="341" spans="7:7" x14ac:dyDescent="0.15">
      <c r="G341" s="14"/>
    </row>
    <row r="342" spans="7:7" x14ac:dyDescent="0.15">
      <c r="G342" s="14"/>
    </row>
    <row r="343" spans="7:7" x14ac:dyDescent="0.15">
      <c r="G343" s="14"/>
    </row>
    <row r="344" spans="7:7" x14ac:dyDescent="0.15">
      <c r="G344" s="14"/>
    </row>
    <row r="345" spans="7:7" x14ac:dyDescent="0.15">
      <c r="G345" s="14"/>
    </row>
    <row r="346" spans="7:7" x14ac:dyDescent="0.15">
      <c r="G346" s="14"/>
    </row>
    <row r="347" spans="7:7" x14ac:dyDescent="0.15">
      <c r="G347" s="14"/>
    </row>
    <row r="348" spans="7:7" x14ac:dyDescent="0.15">
      <c r="G348" s="14"/>
    </row>
    <row r="349" spans="7:7" x14ac:dyDescent="0.15">
      <c r="G349" s="14"/>
    </row>
    <row r="350" spans="7:7" x14ac:dyDescent="0.15">
      <c r="G350" s="14"/>
    </row>
    <row r="351" spans="7:7" x14ac:dyDescent="0.15">
      <c r="G351" s="14"/>
    </row>
    <row r="352" spans="7:7" x14ac:dyDescent="0.15">
      <c r="G352" s="14"/>
    </row>
    <row r="353" spans="7:7" x14ac:dyDescent="0.15">
      <c r="G353" s="14"/>
    </row>
    <row r="354" spans="7:7" x14ac:dyDescent="0.15">
      <c r="G354" s="14"/>
    </row>
    <row r="355" spans="7:7" x14ac:dyDescent="0.15">
      <c r="G355" s="14"/>
    </row>
    <row r="356" spans="7:7" x14ac:dyDescent="0.15">
      <c r="G356" s="14"/>
    </row>
    <row r="357" spans="7:7" x14ac:dyDescent="0.15">
      <c r="G357" s="14"/>
    </row>
    <row r="358" spans="7:7" x14ac:dyDescent="0.15">
      <c r="G358" s="14"/>
    </row>
    <row r="359" spans="7:7" x14ac:dyDescent="0.15">
      <c r="G359" s="14"/>
    </row>
    <row r="360" spans="7:7" x14ac:dyDescent="0.15">
      <c r="G360" s="14"/>
    </row>
    <row r="361" spans="7:7" x14ac:dyDescent="0.15">
      <c r="G361" s="14"/>
    </row>
    <row r="362" spans="7:7" x14ac:dyDescent="0.15">
      <c r="G362" s="14"/>
    </row>
    <row r="363" spans="7:7" x14ac:dyDescent="0.15">
      <c r="G363" s="14"/>
    </row>
    <row r="364" spans="7:7" x14ac:dyDescent="0.15">
      <c r="G364" s="14"/>
    </row>
    <row r="365" spans="7:7" x14ac:dyDescent="0.15">
      <c r="G365" s="14"/>
    </row>
    <row r="366" spans="7:7" x14ac:dyDescent="0.15">
      <c r="G366" s="14"/>
    </row>
    <row r="367" spans="7:7" x14ac:dyDescent="0.15">
      <c r="G367" s="14"/>
    </row>
    <row r="368" spans="7:7" x14ac:dyDescent="0.15">
      <c r="G368" s="14"/>
    </row>
    <row r="369" spans="7:7" x14ac:dyDescent="0.15">
      <c r="G369" s="14"/>
    </row>
    <row r="370" spans="7:7" x14ac:dyDescent="0.15">
      <c r="G370" s="14"/>
    </row>
    <row r="371" spans="7:7" x14ac:dyDescent="0.15">
      <c r="G371" s="14"/>
    </row>
    <row r="372" spans="7:7" x14ac:dyDescent="0.15">
      <c r="G372" s="14"/>
    </row>
    <row r="373" spans="7:7" x14ac:dyDescent="0.15">
      <c r="G373" s="14"/>
    </row>
    <row r="374" spans="7:7" x14ac:dyDescent="0.15">
      <c r="G374" s="14"/>
    </row>
    <row r="375" spans="7:7" x14ac:dyDescent="0.15">
      <c r="G375" s="14"/>
    </row>
    <row r="376" spans="7:7" x14ac:dyDescent="0.15">
      <c r="G376" s="14"/>
    </row>
    <row r="377" spans="7:7" x14ac:dyDescent="0.15">
      <c r="G377" s="14"/>
    </row>
    <row r="378" spans="7:7" x14ac:dyDescent="0.15">
      <c r="G378" s="14"/>
    </row>
    <row r="379" spans="7:7" x14ac:dyDescent="0.15">
      <c r="G379" s="14"/>
    </row>
    <row r="380" spans="7:7" x14ac:dyDescent="0.15">
      <c r="G380" s="14"/>
    </row>
    <row r="381" spans="7:7" x14ac:dyDescent="0.15">
      <c r="G381" s="14"/>
    </row>
    <row r="382" spans="7:7" x14ac:dyDescent="0.15">
      <c r="G382" s="14"/>
    </row>
    <row r="383" spans="7:7" x14ac:dyDescent="0.15">
      <c r="G383" s="14"/>
    </row>
    <row r="384" spans="7:7" x14ac:dyDescent="0.15">
      <c r="G384" s="14"/>
    </row>
    <row r="385" spans="7:7" x14ac:dyDescent="0.15">
      <c r="G385" s="14"/>
    </row>
    <row r="386" spans="7:7" x14ac:dyDescent="0.15">
      <c r="G386" s="14"/>
    </row>
    <row r="387" spans="7:7" x14ac:dyDescent="0.15">
      <c r="G387" s="14"/>
    </row>
    <row r="388" spans="7:7" x14ac:dyDescent="0.15">
      <c r="G388" s="14"/>
    </row>
    <row r="389" spans="7:7" x14ac:dyDescent="0.15">
      <c r="G389" s="14"/>
    </row>
    <row r="390" spans="7:7" x14ac:dyDescent="0.15">
      <c r="G390" s="14"/>
    </row>
    <row r="391" spans="7:7" x14ac:dyDescent="0.15">
      <c r="G391" s="14"/>
    </row>
    <row r="392" spans="7:7" x14ac:dyDescent="0.15">
      <c r="G392" s="14"/>
    </row>
    <row r="393" spans="7:7" x14ac:dyDescent="0.15">
      <c r="G393" s="14"/>
    </row>
    <row r="394" spans="7:7" x14ac:dyDescent="0.15">
      <c r="G394" s="14"/>
    </row>
    <row r="395" spans="7:7" x14ac:dyDescent="0.15">
      <c r="G395" s="14"/>
    </row>
    <row r="396" spans="7:7" x14ac:dyDescent="0.15">
      <c r="G396" s="14"/>
    </row>
    <row r="397" spans="7:7" x14ac:dyDescent="0.15">
      <c r="G397" s="14"/>
    </row>
    <row r="398" spans="7:7" x14ac:dyDescent="0.15">
      <c r="G398" s="14"/>
    </row>
    <row r="399" spans="7:7" x14ac:dyDescent="0.15">
      <c r="G399" s="14"/>
    </row>
    <row r="400" spans="7:7" x14ac:dyDescent="0.15">
      <c r="G400" s="14"/>
    </row>
    <row r="401" spans="7:7" x14ac:dyDescent="0.15">
      <c r="G401" s="14"/>
    </row>
    <row r="402" spans="7:7" x14ac:dyDescent="0.15">
      <c r="G402" s="14"/>
    </row>
    <row r="403" spans="7:7" x14ac:dyDescent="0.15">
      <c r="G403" s="14"/>
    </row>
    <row r="404" spans="7:7" x14ac:dyDescent="0.15">
      <c r="G404" s="14"/>
    </row>
    <row r="405" spans="7:7" x14ac:dyDescent="0.15">
      <c r="G405" s="14"/>
    </row>
    <row r="406" spans="7:7" x14ac:dyDescent="0.15">
      <c r="G406" s="14"/>
    </row>
    <row r="407" spans="7:7" x14ac:dyDescent="0.15">
      <c r="G407" s="14"/>
    </row>
    <row r="408" spans="7:7" x14ac:dyDescent="0.15">
      <c r="G408" s="14"/>
    </row>
    <row r="409" spans="7:7" x14ac:dyDescent="0.15">
      <c r="G409" s="14"/>
    </row>
    <row r="410" spans="7:7" x14ac:dyDescent="0.15">
      <c r="G410" s="14"/>
    </row>
    <row r="411" spans="7:7" x14ac:dyDescent="0.15">
      <c r="G411" s="14"/>
    </row>
    <row r="412" spans="7:7" x14ac:dyDescent="0.15">
      <c r="G412" s="14"/>
    </row>
    <row r="413" spans="7:7" x14ac:dyDescent="0.15">
      <c r="G413" s="14"/>
    </row>
    <row r="414" spans="7:7" x14ac:dyDescent="0.15">
      <c r="G414" s="14"/>
    </row>
    <row r="415" spans="7:7" x14ac:dyDescent="0.15">
      <c r="G415" s="14"/>
    </row>
    <row r="416" spans="7:7" x14ac:dyDescent="0.15">
      <c r="G416" s="14"/>
    </row>
    <row r="417" spans="7:7" x14ac:dyDescent="0.15">
      <c r="G417" s="14"/>
    </row>
    <row r="418" spans="7:7" x14ac:dyDescent="0.15">
      <c r="G418" s="14"/>
    </row>
    <row r="419" spans="7:7" x14ac:dyDescent="0.15">
      <c r="G419" s="14"/>
    </row>
    <row r="420" spans="7:7" x14ac:dyDescent="0.15">
      <c r="G420" s="14"/>
    </row>
    <row r="421" spans="7:7" x14ac:dyDescent="0.15">
      <c r="G421" s="14"/>
    </row>
    <row r="422" spans="7:7" x14ac:dyDescent="0.15">
      <c r="G422" s="14"/>
    </row>
    <row r="423" spans="7:7" x14ac:dyDescent="0.15">
      <c r="G423" s="14"/>
    </row>
    <row r="424" spans="7:7" x14ac:dyDescent="0.15">
      <c r="G424" s="14"/>
    </row>
    <row r="425" spans="7:7" x14ac:dyDescent="0.15">
      <c r="G425" s="14"/>
    </row>
    <row r="426" spans="7:7" x14ac:dyDescent="0.15">
      <c r="G426" s="14"/>
    </row>
    <row r="427" spans="7:7" x14ac:dyDescent="0.15">
      <c r="G427" s="14"/>
    </row>
    <row r="428" spans="7:7" x14ac:dyDescent="0.15">
      <c r="G428" s="14"/>
    </row>
    <row r="429" spans="7:7" x14ac:dyDescent="0.15">
      <c r="G429" s="14"/>
    </row>
    <row r="430" spans="7:7" x14ac:dyDescent="0.15">
      <c r="G430" s="14"/>
    </row>
    <row r="431" spans="7:7" x14ac:dyDescent="0.15">
      <c r="G431" s="14"/>
    </row>
    <row r="432" spans="7:7" x14ac:dyDescent="0.15">
      <c r="G432" s="14"/>
    </row>
    <row r="433" spans="7:7" x14ac:dyDescent="0.15">
      <c r="G433" s="14"/>
    </row>
    <row r="434" spans="7:7" x14ac:dyDescent="0.15">
      <c r="G434" s="14"/>
    </row>
    <row r="435" spans="7:7" x14ac:dyDescent="0.15">
      <c r="G435" s="14"/>
    </row>
    <row r="436" spans="7:7" x14ac:dyDescent="0.15">
      <c r="G436" s="14"/>
    </row>
    <row r="437" spans="7:7" x14ac:dyDescent="0.15">
      <c r="G437" s="14"/>
    </row>
    <row r="438" spans="7:7" x14ac:dyDescent="0.15">
      <c r="G438" s="14"/>
    </row>
    <row r="439" spans="7:7" x14ac:dyDescent="0.15">
      <c r="G439" s="14"/>
    </row>
    <row r="440" spans="7:7" x14ac:dyDescent="0.15">
      <c r="G440" s="14"/>
    </row>
    <row r="441" spans="7:7" x14ac:dyDescent="0.15">
      <c r="G441" s="14"/>
    </row>
    <row r="442" spans="7:7" x14ac:dyDescent="0.15">
      <c r="G442" s="14"/>
    </row>
    <row r="443" spans="7:7" x14ac:dyDescent="0.15">
      <c r="G443" s="14"/>
    </row>
    <row r="444" spans="7:7" x14ac:dyDescent="0.15">
      <c r="G444" s="14"/>
    </row>
    <row r="445" spans="7:7" x14ac:dyDescent="0.15">
      <c r="G445" s="14"/>
    </row>
    <row r="446" spans="7:7" x14ac:dyDescent="0.15">
      <c r="G446" s="14"/>
    </row>
    <row r="447" spans="7:7" x14ac:dyDescent="0.15">
      <c r="G447" s="14"/>
    </row>
    <row r="448" spans="7:7" x14ac:dyDescent="0.15">
      <c r="G448" s="14"/>
    </row>
    <row r="449" spans="7:7" x14ac:dyDescent="0.15">
      <c r="G449" s="14"/>
    </row>
    <row r="450" spans="7:7" x14ac:dyDescent="0.15">
      <c r="G450" s="14"/>
    </row>
    <row r="451" spans="7:7" x14ac:dyDescent="0.15">
      <c r="G451" s="14"/>
    </row>
    <row r="452" spans="7:7" x14ac:dyDescent="0.15">
      <c r="G452" s="14"/>
    </row>
    <row r="453" spans="7:7" x14ac:dyDescent="0.15">
      <c r="G453" s="14"/>
    </row>
    <row r="454" spans="7:7" x14ac:dyDescent="0.15">
      <c r="G454" s="14"/>
    </row>
    <row r="455" spans="7:7" x14ac:dyDescent="0.15">
      <c r="G455" s="14"/>
    </row>
    <row r="456" spans="7:7" x14ac:dyDescent="0.15">
      <c r="G456" s="14"/>
    </row>
    <row r="457" spans="7:7" x14ac:dyDescent="0.15">
      <c r="G457" s="14"/>
    </row>
    <row r="458" spans="7:7" x14ac:dyDescent="0.15">
      <c r="G458" s="14"/>
    </row>
    <row r="459" spans="7:7" x14ac:dyDescent="0.15">
      <c r="G459" s="14"/>
    </row>
    <row r="460" spans="7:7" x14ac:dyDescent="0.15">
      <c r="G460" s="14"/>
    </row>
    <row r="461" spans="7:7" x14ac:dyDescent="0.15">
      <c r="G461" s="14"/>
    </row>
    <row r="462" spans="7:7" x14ac:dyDescent="0.15">
      <c r="G462" s="14"/>
    </row>
    <row r="463" spans="7:7" x14ac:dyDescent="0.15">
      <c r="G463" s="14"/>
    </row>
    <row r="464" spans="7:7" x14ac:dyDescent="0.15">
      <c r="G464" s="14"/>
    </row>
    <row r="465" spans="7:7" x14ac:dyDescent="0.15">
      <c r="G465" s="14"/>
    </row>
    <row r="466" spans="7:7" x14ac:dyDescent="0.15">
      <c r="G466" s="14"/>
    </row>
    <row r="467" spans="7:7" x14ac:dyDescent="0.15">
      <c r="G467" s="14"/>
    </row>
    <row r="468" spans="7:7" x14ac:dyDescent="0.15">
      <c r="G468" s="14"/>
    </row>
    <row r="469" spans="7:7" x14ac:dyDescent="0.15">
      <c r="G469" s="14"/>
    </row>
    <row r="470" spans="7:7" x14ac:dyDescent="0.15">
      <c r="G470" s="14"/>
    </row>
    <row r="471" spans="7:7" x14ac:dyDescent="0.15">
      <c r="G471" s="14"/>
    </row>
    <row r="472" spans="7:7" x14ac:dyDescent="0.15">
      <c r="G472" s="14"/>
    </row>
    <row r="473" spans="7:7" x14ac:dyDescent="0.15">
      <c r="G473" s="14"/>
    </row>
    <row r="474" spans="7:7" x14ac:dyDescent="0.15">
      <c r="G474" s="14"/>
    </row>
    <row r="475" spans="7:7" x14ac:dyDescent="0.15">
      <c r="G475" s="14"/>
    </row>
    <row r="476" spans="7:7" x14ac:dyDescent="0.15">
      <c r="G476" s="14"/>
    </row>
    <row r="477" spans="7:7" x14ac:dyDescent="0.15">
      <c r="G477" s="14"/>
    </row>
    <row r="478" spans="7:7" x14ac:dyDescent="0.15">
      <c r="G478" s="14"/>
    </row>
    <row r="479" spans="7:7" x14ac:dyDescent="0.15">
      <c r="G479" s="14"/>
    </row>
    <row r="480" spans="7:7" x14ac:dyDescent="0.15">
      <c r="G480" s="14"/>
    </row>
    <row r="481" spans="7:7" x14ac:dyDescent="0.15">
      <c r="G481" s="14"/>
    </row>
    <row r="482" spans="7:7" x14ac:dyDescent="0.15">
      <c r="G482" s="14"/>
    </row>
    <row r="483" spans="7:7" x14ac:dyDescent="0.15">
      <c r="G483" s="14"/>
    </row>
    <row r="484" spans="7:7" x14ac:dyDescent="0.15">
      <c r="G484" s="14"/>
    </row>
    <row r="485" spans="7:7" x14ac:dyDescent="0.15">
      <c r="G485" s="14"/>
    </row>
    <row r="486" spans="7:7" x14ac:dyDescent="0.15">
      <c r="G486" s="14"/>
    </row>
    <row r="487" spans="7:7" x14ac:dyDescent="0.15">
      <c r="G487" s="14"/>
    </row>
    <row r="488" spans="7:7" x14ac:dyDescent="0.15">
      <c r="G488" s="14"/>
    </row>
    <row r="489" spans="7:7" x14ac:dyDescent="0.15">
      <c r="G489" s="14"/>
    </row>
    <row r="490" spans="7:7" x14ac:dyDescent="0.15">
      <c r="G490" s="14"/>
    </row>
    <row r="491" spans="7:7" x14ac:dyDescent="0.15">
      <c r="G491" s="14"/>
    </row>
    <row r="492" spans="7:7" x14ac:dyDescent="0.15">
      <c r="G492" s="14"/>
    </row>
    <row r="493" spans="7:7" x14ac:dyDescent="0.15">
      <c r="G493" s="14"/>
    </row>
    <row r="494" spans="7:7" x14ac:dyDescent="0.15">
      <c r="G494" s="14"/>
    </row>
    <row r="495" spans="7:7" x14ac:dyDescent="0.15">
      <c r="G495" s="14"/>
    </row>
    <row r="496" spans="7:7" x14ac:dyDescent="0.15">
      <c r="G496" s="14"/>
    </row>
    <row r="497" spans="7:7" x14ac:dyDescent="0.15">
      <c r="G497" s="14"/>
    </row>
    <row r="498" spans="7:7" x14ac:dyDescent="0.15">
      <c r="G498" s="14"/>
    </row>
    <row r="499" spans="7:7" x14ac:dyDescent="0.15">
      <c r="G499" s="14"/>
    </row>
    <row r="500" spans="7:7" x14ac:dyDescent="0.15">
      <c r="G500" s="14"/>
    </row>
    <row r="501" spans="7:7" x14ac:dyDescent="0.15">
      <c r="G501" s="14"/>
    </row>
    <row r="502" spans="7:7" x14ac:dyDescent="0.15">
      <c r="G502" s="14"/>
    </row>
    <row r="503" spans="7:7" x14ac:dyDescent="0.15">
      <c r="G503" s="14"/>
    </row>
    <row r="504" spans="7:7" x14ac:dyDescent="0.15">
      <c r="G504" s="14"/>
    </row>
    <row r="505" spans="7:7" x14ac:dyDescent="0.15">
      <c r="G505" s="14"/>
    </row>
    <row r="506" spans="7:7" x14ac:dyDescent="0.15">
      <c r="G506" s="14"/>
    </row>
    <row r="507" spans="7:7" x14ac:dyDescent="0.15">
      <c r="G507" s="14"/>
    </row>
    <row r="508" spans="7:7" x14ac:dyDescent="0.15">
      <c r="G508" s="14"/>
    </row>
    <row r="509" spans="7:7" x14ac:dyDescent="0.15">
      <c r="G509" s="14"/>
    </row>
    <row r="510" spans="7:7" x14ac:dyDescent="0.15">
      <c r="G510" s="14"/>
    </row>
    <row r="511" spans="7:7" x14ac:dyDescent="0.15">
      <c r="G511" s="14"/>
    </row>
    <row r="512" spans="7:7" x14ac:dyDescent="0.15">
      <c r="G512" s="14"/>
    </row>
    <row r="513" spans="7:7" x14ac:dyDescent="0.15">
      <c r="G513" s="14"/>
    </row>
    <row r="514" spans="7:7" x14ac:dyDescent="0.15">
      <c r="G514" s="14"/>
    </row>
    <row r="515" spans="7:7" x14ac:dyDescent="0.15">
      <c r="G515" s="14"/>
    </row>
    <row r="516" spans="7:7" x14ac:dyDescent="0.15">
      <c r="G516" s="14"/>
    </row>
    <row r="517" spans="7:7" x14ac:dyDescent="0.15">
      <c r="G517" s="14"/>
    </row>
    <row r="518" spans="7:7" x14ac:dyDescent="0.15">
      <c r="G518" s="14"/>
    </row>
    <row r="519" spans="7:7" x14ac:dyDescent="0.15">
      <c r="G519" s="14"/>
    </row>
    <row r="520" spans="7:7" x14ac:dyDescent="0.15">
      <c r="G520" s="14"/>
    </row>
    <row r="521" spans="7:7" x14ac:dyDescent="0.15">
      <c r="G521" s="14"/>
    </row>
    <row r="522" spans="7:7" x14ac:dyDescent="0.15">
      <c r="G522" s="14"/>
    </row>
    <row r="523" spans="7:7" x14ac:dyDescent="0.15">
      <c r="G523" s="14"/>
    </row>
    <row r="524" spans="7:7" x14ac:dyDescent="0.15">
      <c r="G524" s="14"/>
    </row>
    <row r="525" spans="7:7" x14ac:dyDescent="0.15">
      <c r="G525" s="14"/>
    </row>
    <row r="526" spans="7:7" x14ac:dyDescent="0.15">
      <c r="G526" s="14"/>
    </row>
    <row r="527" spans="7:7" x14ac:dyDescent="0.15">
      <c r="G527" s="14"/>
    </row>
    <row r="528" spans="7:7" x14ac:dyDescent="0.15">
      <c r="G528" s="14"/>
    </row>
    <row r="529" spans="7:7" x14ac:dyDescent="0.15">
      <c r="G529" s="14"/>
    </row>
    <row r="530" spans="7:7" x14ac:dyDescent="0.15">
      <c r="G530" s="14"/>
    </row>
    <row r="531" spans="7:7" x14ac:dyDescent="0.15">
      <c r="G531" s="14"/>
    </row>
    <row r="532" spans="7:7" x14ac:dyDescent="0.15">
      <c r="G532" s="14"/>
    </row>
    <row r="533" spans="7:7" x14ac:dyDescent="0.15">
      <c r="G533" s="14"/>
    </row>
    <row r="534" spans="7:7" x14ac:dyDescent="0.15">
      <c r="G534" s="14"/>
    </row>
    <row r="535" spans="7:7" x14ac:dyDescent="0.15">
      <c r="G535" s="14"/>
    </row>
    <row r="536" spans="7:7" x14ac:dyDescent="0.15">
      <c r="G536" s="14"/>
    </row>
    <row r="537" spans="7:7" x14ac:dyDescent="0.15">
      <c r="G537" s="14"/>
    </row>
    <row r="538" spans="7:7" x14ac:dyDescent="0.15">
      <c r="G538" s="14"/>
    </row>
    <row r="539" spans="7:7" x14ac:dyDescent="0.15">
      <c r="G539" s="14"/>
    </row>
    <row r="540" spans="7:7" x14ac:dyDescent="0.15">
      <c r="G540" s="14"/>
    </row>
    <row r="541" spans="7:7" x14ac:dyDescent="0.15">
      <c r="G541" s="14"/>
    </row>
    <row r="542" spans="7:7" x14ac:dyDescent="0.15">
      <c r="G542" s="14"/>
    </row>
    <row r="543" spans="7:7" x14ac:dyDescent="0.15">
      <c r="G543" s="14"/>
    </row>
    <row r="544" spans="7:7" x14ac:dyDescent="0.15">
      <c r="G544" s="14"/>
    </row>
    <row r="545" spans="7:7" x14ac:dyDescent="0.15">
      <c r="G545" s="14"/>
    </row>
    <row r="546" spans="7:7" x14ac:dyDescent="0.15">
      <c r="G546" s="14"/>
    </row>
    <row r="547" spans="7:7" x14ac:dyDescent="0.15">
      <c r="G547" s="14"/>
    </row>
    <row r="548" spans="7:7" x14ac:dyDescent="0.15">
      <c r="G548" s="14"/>
    </row>
    <row r="549" spans="7:7" x14ac:dyDescent="0.15">
      <c r="G549" s="14"/>
    </row>
    <row r="550" spans="7:7" x14ac:dyDescent="0.15">
      <c r="G550" s="14"/>
    </row>
    <row r="551" spans="7:7" x14ac:dyDescent="0.15">
      <c r="G551" s="14"/>
    </row>
    <row r="552" spans="7:7" x14ac:dyDescent="0.15">
      <c r="G552" s="14"/>
    </row>
    <row r="553" spans="7:7" x14ac:dyDescent="0.15">
      <c r="G553" s="14"/>
    </row>
    <row r="554" spans="7:7" x14ac:dyDescent="0.15">
      <c r="G554" s="14"/>
    </row>
    <row r="555" spans="7:7" x14ac:dyDescent="0.15">
      <c r="G555" s="14"/>
    </row>
    <row r="556" spans="7:7" x14ac:dyDescent="0.15">
      <c r="G556" s="14"/>
    </row>
    <row r="557" spans="7:7" x14ac:dyDescent="0.15">
      <c r="G557" s="14"/>
    </row>
    <row r="558" spans="7:7" x14ac:dyDescent="0.15">
      <c r="G558" s="14"/>
    </row>
    <row r="559" spans="7:7" x14ac:dyDescent="0.15">
      <c r="G559" s="14"/>
    </row>
    <row r="560" spans="7:7" x14ac:dyDescent="0.15">
      <c r="G560" s="14"/>
    </row>
    <row r="561" spans="7:7" x14ac:dyDescent="0.15">
      <c r="G561" s="14"/>
    </row>
    <row r="562" spans="7:7" x14ac:dyDescent="0.15">
      <c r="G562" s="14"/>
    </row>
    <row r="563" spans="7:7" x14ac:dyDescent="0.15">
      <c r="G563" s="14"/>
    </row>
    <row r="564" spans="7:7" x14ac:dyDescent="0.15">
      <c r="G564" s="14"/>
    </row>
    <row r="565" spans="7:7" x14ac:dyDescent="0.15">
      <c r="G565" s="14"/>
    </row>
    <row r="566" spans="7:7" x14ac:dyDescent="0.15">
      <c r="G566" s="14"/>
    </row>
    <row r="567" spans="7:7" x14ac:dyDescent="0.15">
      <c r="G567" s="14"/>
    </row>
    <row r="568" spans="7:7" x14ac:dyDescent="0.15">
      <c r="G568" s="14"/>
    </row>
    <row r="569" spans="7:7" x14ac:dyDescent="0.15">
      <c r="G569" s="14"/>
    </row>
    <row r="570" spans="7:7" x14ac:dyDescent="0.15">
      <c r="G570" s="14"/>
    </row>
    <row r="571" spans="7:7" x14ac:dyDescent="0.15">
      <c r="G571" s="14"/>
    </row>
    <row r="572" spans="7:7" x14ac:dyDescent="0.15">
      <c r="G572" s="14"/>
    </row>
    <row r="573" spans="7:7" x14ac:dyDescent="0.15">
      <c r="G573" s="14"/>
    </row>
    <row r="574" spans="7:7" x14ac:dyDescent="0.15">
      <c r="G574" s="14"/>
    </row>
    <row r="575" spans="7:7" x14ac:dyDescent="0.15">
      <c r="G575" s="14"/>
    </row>
    <row r="576" spans="7:7" x14ac:dyDescent="0.15">
      <c r="G576" s="14"/>
    </row>
    <row r="577" spans="7:7" x14ac:dyDescent="0.15">
      <c r="G577" s="14"/>
    </row>
    <row r="578" spans="7:7" x14ac:dyDescent="0.15">
      <c r="G578" s="14"/>
    </row>
    <row r="579" spans="7:7" x14ac:dyDescent="0.15">
      <c r="G579" s="14"/>
    </row>
    <row r="580" spans="7:7" x14ac:dyDescent="0.15">
      <c r="G580" s="14"/>
    </row>
    <row r="581" spans="7:7" x14ac:dyDescent="0.15">
      <c r="G581" s="14"/>
    </row>
    <row r="582" spans="7:7" x14ac:dyDescent="0.15">
      <c r="G582" s="14"/>
    </row>
    <row r="583" spans="7:7" x14ac:dyDescent="0.15">
      <c r="G583" s="14"/>
    </row>
    <row r="584" spans="7:7" x14ac:dyDescent="0.15">
      <c r="G584" s="14"/>
    </row>
    <row r="585" spans="7:7" x14ac:dyDescent="0.15">
      <c r="G585" s="14"/>
    </row>
    <row r="586" spans="7:7" x14ac:dyDescent="0.15">
      <c r="G586" s="14"/>
    </row>
    <row r="587" spans="7:7" x14ac:dyDescent="0.15">
      <c r="G587" s="14"/>
    </row>
    <row r="588" spans="7:7" x14ac:dyDescent="0.15">
      <c r="G588" s="14"/>
    </row>
    <row r="589" spans="7:7" x14ac:dyDescent="0.15">
      <c r="G589" s="14"/>
    </row>
    <row r="590" spans="7:7" x14ac:dyDescent="0.15">
      <c r="G590" s="14"/>
    </row>
    <row r="591" spans="7:7" x14ac:dyDescent="0.15">
      <c r="G591" s="14"/>
    </row>
    <row r="592" spans="7:7" x14ac:dyDescent="0.15">
      <c r="G592" s="14"/>
    </row>
    <row r="593" spans="7:7" x14ac:dyDescent="0.15">
      <c r="G593" s="14"/>
    </row>
    <row r="594" spans="7:7" x14ac:dyDescent="0.15">
      <c r="G594" s="14"/>
    </row>
    <row r="595" spans="7:7" x14ac:dyDescent="0.15">
      <c r="G595" s="14"/>
    </row>
    <row r="596" spans="7:7" x14ac:dyDescent="0.15">
      <c r="G596" s="14"/>
    </row>
    <row r="597" spans="7:7" x14ac:dyDescent="0.15">
      <c r="G597" s="14"/>
    </row>
    <row r="598" spans="7:7" x14ac:dyDescent="0.15">
      <c r="G598" s="14"/>
    </row>
    <row r="599" spans="7:7" x14ac:dyDescent="0.15">
      <c r="G599" s="14"/>
    </row>
    <row r="600" spans="7:7" x14ac:dyDescent="0.15">
      <c r="G600" s="14"/>
    </row>
    <row r="601" spans="7:7" x14ac:dyDescent="0.15">
      <c r="G601" s="14"/>
    </row>
    <row r="602" spans="7:7" x14ac:dyDescent="0.15">
      <c r="G602" s="14"/>
    </row>
    <row r="603" spans="7:7" x14ac:dyDescent="0.15">
      <c r="G603" s="14"/>
    </row>
    <row r="604" spans="7:7" x14ac:dyDescent="0.15">
      <c r="G604" s="14"/>
    </row>
    <row r="605" spans="7:7" x14ac:dyDescent="0.15">
      <c r="G605" s="14"/>
    </row>
    <row r="606" spans="7:7" x14ac:dyDescent="0.15">
      <c r="G606" s="14"/>
    </row>
    <row r="607" spans="7:7" x14ac:dyDescent="0.15">
      <c r="G607" s="14"/>
    </row>
    <row r="608" spans="7:7" x14ac:dyDescent="0.15">
      <c r="G608" s="14"/>
    </row>
    <row r="609" spans="7:7" x14ac:dyDescent="0.15">
      <c r="G609" s="14"/>
    </row>
    <row r="610" spans="7:7" x14ac:dyDescent="0.15">
      <c r="G610" s="14"/>
    </row>
    <row r="611" spans="7:7" x14ac:dyDescent="0.15">
      <c r="G611" s="14"/>
    </row>
    <row r="612" spans="7:7" x14ac:dyDescent="0.15">
      <c r="G612" s="14"/>
    </row>
    <row r="613" spans="7:7" x14ac:dyDescent="0.15">
      <c r="G613" s="14"/>
    </row>
    <row r="614" spans="7:7" x14ac:dyDescent="0.15">
      <c r="G614" s="14"/>
    </row>
    <row r="615" spans="7:7" x14ac:dyDescent="0.15">
      <c r="G615" s="14"/>
    </row>
    <row r="616" spans="7:7" x14ac:dyDescent="0.15">
      <c r="G616" s="14"/>
    </row>
    <row r="617" spans="7:7" x14ac:dyDescent="0.15">
      <c r="G617" s="14"/>
    </row>
    <row r="618" spans="7:7" x14ac:dyDescent="0.15">
      <c r="G618" s="14"/>
    </row>
    <row r="619" spans="7:7" x14ac:dyDescent="0.15">
      <c r="G619" s="14"/>
    </row>
    <row r="620" spans="7:7" x14ac:dyDescent="0.15">
      <c r="G620" s="14"/>
    </row>
    <row r="621" spans="7:7" x14ac:dyDescent="0.15">
      <c r="G621" s="14"/>
    </row>
    <row r="622" spans="7:7" x14ac:dyDescent="0.15">
      <c r="G622" s="14"/>
    </row>
    <row r="623" spans="7:7" x14ac:dyDescent="0.15">
      <c r="G623" s="14"/>
    </row>
    <row r="624" spans="7:7" x14ac:dyDescent="0.15">
      <c r="G624" s="14"/>
    </row>
    <row r="625" spans="7:7" x14ac:dyDescent="0.15">
      <c r="G625" s="14"/>
    </row>
    <row r="626" spans="7:7" x14ac:dyDescent="0.15">
      <c r="G626" s="14"/>
    </row>
    <row r="627" spans="7:7" x14ac:dyDescent="0.15">
      <c r="G627" s="14"/>
    </row>
    <row r="628" spans="7:7" x14ac:dyDescent="0.15">
      <c r="G628" s="14"/>
    </row>
    <row r="629" spans="7:7" x14ac:dyDescent="0.15">
      <c r="G629" s="14"/>
    </row>
    <row r="630" spans="7:7" x14ac:dyDescent="0.15">
      <c r="G630" s="14"/>
    </row>
    <row r="631" spans="7:7" x14ac:dyDescent="0.15">
      <c r="G631" s="14"/>
    </row>
    <row r="632" spans="7:7" x14ac:dyDescent="0.15">
      <c r="G632" s="14"/>
    </row>
    <row r="633" spans="7:7" x14ac:dyDescent="0.15">
      <c r="G633" s="14"/>
    </row>
    <row r="634" spans="7:7" x14ac:dyDescent="0.15">
      <c r="G634" s="14"/>
    </row>
    <row r="635" spans="7:7" x14ac:dyDescent="0.15">
      <c r="G635" s="14"/>
    </row>
    <row r="636" spans="7:7" x14ac:dyDescent="0.15">
      <c r="G636" s="14"/>
    </row>
    <row r="637" spans="7:7" x14ac:dyDescent="0.15">
      <c r="G637" s="14"/>
    </row>
    <row r="638" spans="7:7" x14ac:dyDescent="0.15">
      <c r="G638" s="14"/>
    </row>
    <row r="639" spans="7:7" x14ac:dyDescent="0.15">
      <c r="G639" s="14"/>
    </row>
    <row r="640" spans="7:7" x14ac:dyDescent="0.15">
      <c r="G640" s="14"/>
    </row>
    <row r="641" spans="7:7" x14ac:dyDescent="0.15">
      <c r="G641" s="14"/>
    </row>
    <row r="642" spans="7:7" x14ac:dyDescent="0.15">
      <c r="G642" s="14"/>
    </row>
    <row r="643" spans="7:7" x14ac:dyDescent="0.15">
      <c r="G643" s="14"/>
    </row>
    <row r="644" spans="7:7" x14ac:dyDescent="0.15">
      <c r="G644" s="14"/>
    </row>
    <row r="645" spans="7:7" x14ac:dyDescent="0.15">
      <c r="G645" s="14"/>
    </row>
    <row r="646" spans="7:7" x14ac:dyDescent="0.15">
      <c r="G646" s="14"/>
    </row>
    <row r="647" spans="7:7" x14ac:dyDescent="0.15">
      <c r="G647" s="14"/>
    </row>
    <row r="648" spans="7:7" x14ac:dyDescent="0.15">
      <c r="G648" s="14"/>
    </row>
    <row r="649" spans="7:7" x14ac:dyDescent="0.15">
      <c r="G649" s="14"/>
    </row>
    <row r="650" spans="7:7" x14ac:dyDescent="0.15">
      <c r="G650" s="14"/>
    </row>
    <row r="651" spans="7:7" x14ac:dyDescent="0.15">
      <c r="G651" s="14"/>
    </row>
    <row r="652" spans="7:7" x14ac:dyDescent="0.15">
      <c r="G652" s="14"/>
    </row>
    <row r="653" spans="7:7" x14ac:dyDescent="0.15">
      <c r="G653" s="14"/>
    </row>
    <row r="654" spans="7:7" x14ac:dyDescent="0.15">
      <c r="G654" s="14"/>
    </row>
    <row r="655" spans="7:7" x14ac:dyDescent="0.15">
      <c r="G655" s="14"/>
    </row>
    <row r="656" spans="7:7" x14ac:dyDescent="0.15">
      <c r="G656" s="14"/>
    </row>
    <row r="657" spans="7:7" x14ac:dyDescent="0.15">
      <c r="G657" s="14"/>
    </row>
    <row r="658" spans="7:7" x14ac:dyDescent="0.15">
      <c r="G658" s="14"/>
    </row>
    <row r="659" spans="7:7" x14ac:dyDescent="0.15">
      <c r="G659" s="14"/>
    </row>
    <row r="660" spans="7:7" x14ac:dyDescent="0.15">
      <c r="G660" s="14"/>
    </row>
    <row r="661" spans="7:7" x14ac:dyDescent="0.15">
      <c r="G661" s="14"/>
    </row>
    <row r="662" spans="7:7" x14ac:dyDescent="0.15">
      <c r="G662" s="14"/>
    </row>
    <row r="663" spans="7:7" x14ac:dyDescent="0.15">
      <c r="G663" s="14"/>
    </row>
    <row r="664" spans="7:7" x14ac:dyDescent="0.15">
      <c r="G664" s="14"/>
    </row>
    <row r="665" spans="7:7" x14ac:dyDescent="0.15">
      <c r="G665" s="14"/>
    </row>
    <row r="666" spans="7:7" x14ac:dyDescent="0.15">
      <c r="G666" s="14"/>
    </row>
    <row r="667" spans="7:7" x14ac:dyDescent="0.15">
      <c r="G667" s="14"/>
    </row>
    <row r="668" spans="7:7" x14ac:dyDescent="0.15">
      <c r="G668" s="14"/>
    </row>
    <row r="669" spans="7:7" x14ac:dyDescent="0.15">
      <c r="G669" s="14"/>
    </row>
    <row r="670" spans="7:7" x14ac:dyDescent="0.15">
      <c r="G670" s="14"/>
    </row>
    <row r="671" spans="7:7" x14ac:dyDescent="0.15">
      <c r="G671" s="14"/>
    </row>
    <row r="672" spans="7:7" x14ac:dyDescent="0.15">
      <c r="G672" s="14"/>
    </row>
    <row r="673" spans="7:7" x14ac:dyDescent="0.15">
      <c r="G673" s="14"/>
    </row>
    <row r="674" spans="7:7" x14ac:dyDescent="0.15">
      <c r="G674" s="14"/>
    </row>
    <row r="675" spans="7:7" x14ac:dyDescent="0.15">
      <c r="G675" s="14"/>
    </row>
    <row r="676" spans="7:7" x14ac:dyDescent="0.15">
      <c r="G676" s="14"/>
    </row>
    <row r="677" spans="7:7" x14ac:dyDescent="0.15">
      <c r="G677" s="14"/>
    </row>
    <row r="678" spans="7:7" x14ac:dyDescent="0.15">
      <c r="G678" s="14"/>
    </row>
    <row r="679" spans="7:7" x14ac:dyDescent="0.15">
      <c r="G679" s="14"/>
    </row>
    <row r="680" spans="7:7" x14ac:dyDescent="0.15">
      <c r="G680" s="14"/>
    </row>
    <row r="681" spans="7:7" x14ac:dyDescent="0.15">
      <c r="G681" s="14"/>
    </row>
    <row r="682" spans="7:7" x14ac:dyDescent="0.15">
      <c r="G682" s="14"/>
    </row>
    <row r="683" spans="7:7" x14ac:dyDescent="0.15">
      <c r="G683" s="14"/>
    </row>
    <row r="684" spans="7:7" x14ac:dyDescent="0.15">
      <c r="G684" s="14"/>
    </row>
    <row r="685" spans="7:7" x14ac:dyDescent="0.15">
      <c r="G685" s="14"/>
    </row>
    <row r="686" spans="7:7" x14ac:dyDescent="0.15">
      <c r="G686" s="14"/>
    </row>
    <row r="687" spans="7:7" x14ac:dyDescent="0.15">
      <c r="G687" s="14"/>
    </row>
    <row r="688" spans="7:7" x14ac:dyDescent="0.15">
      <c r="G688" s="14"/>
    </row>
    <row r="689" spans="7:7" x14ac:dyDescent="0.15">
      <c r="G689" s="14"/>
    </row>
    <row r="690" spans="7:7" x14ac:dyDescent="0.15">
      <c r="G690" s="14"/>
    </row>
    <row r="691" spans="7:7" x14ac:dyDescent="0.15">
      <c r="G691" s="14"/>
    </row>
    <row r="692" spans="7:7" x14ac:dyDescent="0.15">
      <c r="G692" s="14"/>
    </row>
    <row r="693" spans="7:7" x14ac:dyDescent="0.15">
      <c r="G693" s="14"/>
    </row>
    <row r="694" spans="7:7" x14ac:dyDescent="0.15">
      <c r="G694" s="14"/>
    </row>
    <row r="695" spans="7:7" x14ac:dyDescent="0.15">
      <c r="G695" s="14"/>
    </row>
    <row r="696" spans="7:7" x14ac:dyDescent="0.15">
      <c r="G696" s="14"/>
    </row>
    <row r="697" spans="7:7" x14ac:dyDescent="0.15">
      <c r="G697" s="14"/>
    </row>
    <row r="698" spans="7:7" x14ac:dyDescent="0.15">
      <c r="G698" s="14"/>
    </row>
    <row r="699" spans="7:7" x14ac:dyDescent="0.15">
      <c r="G699" s="14"/>
    </row>
    <row r="700" spans="7:7" x14ac:dyDescent="0.15">
      <c r="G700" s="14"/>
    </row>
    <row r="701" spans="7:7" x14ac:dyDescent="0.15">
      <c r="G701" s="14"/>
    </row>
    <row r="702" spans="7:7" x14ac:dyDescent="0.15">
      <c r="G702" s="14"/>
    </row>
    <row r="703" spans="7:7" x14ac:dyDescent="0.15">
      <c r="G703" s="14"/>
    </row>
    <row r="704" spans="7:7" x14ac:dyDescent="0.15">
      <c r="G704" s="14"/>
    </row>
    <row r="705" spans="7:7" x14ac:dyDescent="0.15">
      <c r="G705" s="14"/>
    </row>
    <row r="706" spans="7:7" x14ac:dyDescent="0.15">
      <c r="G706" s="14"/>
    </row>
    <row r="707" spans="7:7" x14ac:dyDescent="0.15">
      <c r="G707" s="14"/>
    </row>
    <row r="708" spans="7:7" x14ac:dyDescent="0.15">
      <c r="G708" s="14"/>
    </row>
    <row r="709" spans="7:7" x14ac:dyDescent="0.15">
      <c r="G709" s="14"/>
    </row>
    <row r="710" spans="7:7" x14ac:dyDescent="0.15">
      <c r="G710" s="14"/>
    </row>
    <row r="711" spans="7:7" x14ac:dyDescent="0.15">
      <c r="G711" s="14"/>
    </row>
    <row r="712" spans="7:7" x14ac:dyDescent="0.15">
      <c r="G712" s="14"/>
    </row>
    <row r="713" spans="7:7" x14ac:dyDescent="0.15">
      <c r="G713" s="14"/>
    </row>
    <row r="714" spans="7:7" x14ac:dyDescent="0.15">
      <c r="G714" s="14"/>
    </row>
    <row r="715" spans="7:7" x14ac:dyDescent="0.15">
      <c r="G715" s="14"/>
    </row>
    <row r="716" spans="7:7" x14ac:dyDescent="0.15">
      <c r="G716" s="14"/>
    </row>
    <row r="717" spans="7:7" x14ac:dyDescent="0.15">
      <c r="G717" s="14"/>
    </row>
    <row r="718" spans="7:7" x14ac:dyDescent="0.15">
      <c r="G718" s="14"/>
    </row>
    <row r="719" spans="7:7" x14ac:dyDescent="0.15">
      <c r="G719" s="14"/>
    </row>
    <row r="720" spans="7:7" x14ac:dyDescent="0.15">
      <c r="G720" s="14"/>
    </row>
    <row r="721" spans="7:7" x14ac:dyDescent="0.15">
      <c r="G721" s="14"/>
    </row>
    <row r="722" spans="7:7" x14ac:dyDescent="0.15">
      <c r="G722" s="14"/>
    </row>
    <row r="723" spans="7:7" x14ac:dyDescent="0.15">
      <c r="G723" s="14"/>
    </row>
    <row r="724" spans="7:7" x14ac:dyDescent="0.15">
      <c r="G724" s="14"/>
    </row>
    <row r="725" spans="7:7" x14ac:dyDescent="0.15">
      <c r="G725" s="14"/>
    </row>
    <row r="726" spans="7:7" x14ac:dyDescent="0.15">
      <c r="G726" s="14"/>
    </row>
    <row r="727" spans="7:7" x14ac:dyDescent="0.15">
      <c r="G727" s="14"/>
    </row>
    <row r="728" spans="7:7" x14ac:dyDescent="0.15">
      <c r="G728" s="14"/>
    </row>
    <row r="729" spans="7:7" x14ac:dyDescent="0.15">
      <c r="G729" s="14"/>
    </row>
    <row r="730" spans="7:7" x14ac:dyDescent="0.15">
      <c r="G730" s="14"/>
    </row>
    <row r="731" spans="7:7" x14ac:dyDescent="0.15">
      <c r="G731" s="14"/>
    </row>
    <row r="732" spans="7:7" x14ac:dyDescent="0.15">
      <c r="G732" s="14"/>
    </row>
    <row r="733" spans="7:7" x14ac:dyDescent="0.15">
      <c r="G733" s="14"/>
    </row>
    <row r="734" spans="7:7" x14ac:dyDescent="0.15">
      <c r="G734" s="14"/>
    </row>
    <row r="735" spans="7:7" x14ac:dyDescent="0.15">
      <c r="G735" s="14"/>
    </row>
    <row r="736" spans="7:7" x14ac:dyDescent="0.15">
      <c r="G736" s="14"/>
    </row>
    <row r="737" spans="7:7" x14ac:dyDescent="0.15">
      <c r="G737" s="14"/>
    </row>
    <row r="738" spans="7:7" x14ac:dyDescent="0.15">
      <c r="G738" s="14"/>
    </row>
    <row r="739" spans="7:7" x14ac:dyDescent="0.15">
      <c r="G739" s="14"/>
    </row>
    <row r="740" spans="7:7" x14ac:dyDescent="0.15">
      <c r="G740" s="14"/>
    </row>
    <row r="741" spans="7:7" x14ac:dyDescent="0.15">
      <c r="G741" s="14"/>
    </row>
    <row r="742" spans="7:7" x14ac:dyDescent="0.15">
      <c r="G742" s="14"/>
    </row>
    <row r="743" spans="7:7" x14ac:dyDescent="0.15">
      <c r="G743" s="14"/>
    </row>
    <row r="744" spans="7:7" x14ac:dyDescent="0.15">
      <c r="G744" s="14"/>
    </row>
    <row r="745" spans="7:7" x14ac:dyDescent="0.15">
      <c r="G745" s="14"/>
    </row>
    <row r="746" spans="7:7" x14ac:dyDescent="0.15">
      <c r="G746" s="14"/>
    </row>
    <row r="747" spans="7:7" x14ac:dyDescent="0.15">
      <c r="G747" s="14"/>
    </row>
    <row r="748" spans="7:7" x14ac:dyDescent="0.15">
      <c r="G748" s="14"/>
    </row>
    <row r="749" spans="7:7" x14ac:dyDescent="0.15">
      <c r="G749" s="14"/>
    </row>
    <row r="750" spans="7:7" x14ac:dyDescent="0.15">
      <c r="G750" s="14"/>
    </row>
    <row r="751" spans="7:7" x14ac:dyDescent="0.15">
      <c r="G751" s="14"/>
    </row>
    <row r="752" spans="7:7" x14ac:dyDescent="0.15">
      <c r="G752" s="14"/>
    </row>
    <row r="753" spans="7:7" x14ac:dyDescent="0.15">
      <c r="G753" s="14"/>
    </row>
    <row r="754" spans="7:7" x14ac:dyDescent="0.15">
      <c r="G754" s="14"/>
    </row>
    <row r="755" spans="7:7" x14ac:dyDescent="0.15">
      <c r="G755" s="14"/>
    </row>
    <row r="756" spans="7:7" x14ac:dyDescent="0.15">
      <c r="G756" s="14"/>
    </row>
    <row r="757" spans="7:7" x14ac:dyDescent="0.15">
      <c r="G757" s="14"/>
    </row>
    <row r="758" spans="7:7" x14ac:dyDescent="0.15">
      <c r="G758" s="14"/>
    </row>
    <row r="759" spans="7:7" x14ac:dyDescent="0.15">
      <c r="G759" s="14"/>
    </row>
    <row r="760" spans="7:7" x14ac:dyDescent="0.15">
      <c r="G760" s="14"/>
    </row>
    <row r="761" spans="7:7" x14ac:dyDescent="0.15">
      <c r="G761" s="14"/>
    </row>
    <row r="762" spans="7:7" x14ac:dyDescent="0.15">
      <c r="G762" s="14"/>
    </row>
    <row r="763" spans="7:7" x14ac:dyDescent="0.15">
      <c r="G763" s="14"/>
    </row>
    <row r="764" spans="7:7" x14ac:dyDescent="0.15">
      <c r="G764" s="14"/>
    </row>
    <row r="765" spans="7:7" x14ac:dyDescent="0.15">
      <c r="G765" s="14"/>
    </row>
    <row r="766" spans="7:7" x14ac:dyDescent="0.15">
      <c r="G766" s="14"/>
    </row>
    <row r="767" spans="7:7" x14ac:dyDescent="0.15">
      <c r="G767" s="14"/>
    </row>
    <row r="768" spans="7:7" x14ac:dyDescent="0.15">
      <c r="G768" s="14"/>
    </row>
    <row r="769" spans="7:7" x14ac:dyDescent="0.15">
      <c r="G769" s="14"/>
    </row>
    <row r="770" spans="7:7" x14ac:dyDescent="0.15">
      <c r="G770" s="14"/>
    </row>
    <row r="771" spans="7:7" x14ac:dyDescent="0.15">
      <c r="G771" s="14"/>
    </row>
    <row r="772" spans="7:7" x14ac:dyDescent="0.15">
      <c r="G772" s="14"/>
    </row>
    <row r="773" spans="7:7" x14ac:dyDescent="0.15">
      <c r="G773" s="14"/>
    </row>
    <row r="774" spans="7:7" x14ac:dyDescent="0.15">
      <c r="G774" s="14"/>
    </row>
    <row r="775" spans="7:7" x14ac:dyDescent="0.15">
      <c r="G775" s="14"/>
    </row>
    <row r="776" spans="7:7" x14ac:dyDescent="0.15">
      <c r="G776" s="14"/>
    </row>
    <row r="777" spans="7:7" x14ac:dyDescent="0.15">
      <c r="G777" s="14"/>
    </row>
    <row r="778" spans="7:7" x14ac:dyDescent="0.15">
      <c r="G778" s="14"/>
    </row>
    <row r="779" spans="7:7" x14ac:dyDescent="0.15">
      <c r="G779" s="14"/>
    </row>
    <row r="780" spans="7:7" x14ac:dyDescent="0.15">
      <c r="G780" s="14"/>
    </row>
    <row r="781" spans="7:7" x14ac:dyDescent="0.15">
      <c r="G781" s="14"/>
    </row>
    <row r="782" spans="7:7" x14ac:dyDescent="0.15">
      <c r="G782" s="14"/>
    </row>
    <row r="783" spans="7:7" x14ac:dyDescent="0.15">
      <c r="G783" s="14"/>
    </row>
    <row r="784" spans="7:7" x14ac:dyDescent="0.15">
      <c r="G784" s="14"/>
    </row>
    <row r="785" spans="7:7" x14ac:dyDescent="0.15">
      <c r="G785" s="14"/>
    </row>
    <row r="786" spans="7:7" x14ac:dyDescent="0.15">
      <c r="G786" s="14"/>
    </row>
    <row r="787" spans="7:7" x14ac:dyDescent="0.15">
      <c r="G787" s="14"/>
    </row>
    <row r="788" spans="7:7" x14ac:dyDescent="0.15">
      <c r="G788" s="14"/>
    </row>
    <row r="789" spans="7:7" x14ac:dyDescent="0.15">
      <c r="G789" s="14"/>
    </row>
    <row r="790" spans="7:7" x14ac:dyDescent="0.15">
      <c r="G790" s="14"/>
    </row>
    <row r="791" spans="7:7" x14ac:dyDescent="0.15">
      <c r="G791" s="14"/>
    </row>
    <row r="792" spans="7:7" x14ac:dyDescent="0.15">
      <c r="G792" s="14"/>
    </row>
    <row r="793" spans="7:7" x14ac:dyDescent="0.15">
      <c r="G793" s="14"/>
    </row>
    <row r="794" spans="7:7" x14ac:dyDescent="0.15">
      <c r="G794" s="14"/>
    </row>
    <row r="795" spans="7:7" x14ac:dyDescent="0.15">
      <c r="G795" s="14"/>
    </row>
    <row r="796" spans="7:7" x14ac:dyDescent="0.15">
      <c r="G796" s="14"/>
    </row>
    <row r="797" spans="7:7" x14ac:dyDescent="0.15">
      <c r="G797" s="14"/>
    </row>
    <row r="798" spans="7:7" x14ac:dyDescent="0.15">
      <c r="G798" s="14"/>
    </row>
    <row r="799" spans="7:7" x14ac:dyDescent="0.15">
      <c r="G799" s="14"/>
    </row>
    <row r="800" spans="7:7" x14ac:dyDescent="0.15">
      <c r="G800" s="14"/>
    </row>
    <row r="801" spans="7:7" x14ac:dyDescent="0.15">
      <c r="G801" s="14"/>
    </row>
    <row r="802" spans="7:7" x14ac:dyDescent="0.15">
      <c r="G802" s="14"/>
    </row>
    <row r="803" spans="7:7" x14ac:dyDescent="0.15">
      <c r="G803" s="14"/>
    </row>
    <row r="804" spans="7:7" x14ac:dyDescent="0.15">
      <c r="G804" s="14"/>
    </row>
    <row r="805" spans="7:7" x14ac:dyDescent="0.15">
      <c r="G805" s="14"/>
    </row>
    <row r="806" spans="7:7" x14ac:dyDescent="0.15">
      <c r="G806" s="14"/>
    </row>
    <row r="807" spans="7:7" x14ac:dyDescent="0.15">
      <c r="G807" s="14"/>
    </row>
    <row r="808" spans="7:7" x14ac:dyDescent="0.15">
      <c r="G808" s="14"/>
    </row>
    <row r="809" spans="7:7" x14ac:dyDescent="0.15">
      <c r="G809" s="14"/>
    </row>
    <row r="810" spans="7:7" x14ac:dyDescent="0.15">
      <c r="G810" s="14"/>
    </row>
    <row r="811" spans="7:7" x14ac:dyDescent="0.15">
      <c r="G811" s="14"/>
    </row>
    <row r="812" spans="7:7" x14ac:dyDescent="0.15">
      <c r="G812" s="14"/>
    </row>
    <row r="813" spans="7:7" x14ac:dyDescent="0.15">
      <c r="G813" s="14"/>
    </row>
    <row r="814" spans="7:7" x14ac:dyDescent="0.15">
      <c r="G814" s="14"/>
    </row>
    <row r="815" spans="7:7" x14ac:dyDescent="0.15">
      <c r="G815" s="14"/>
    </row>
    <row r="816" spans="7:7" x14ac:dyDescent="0.15">
      <c r="G816" s="14"/>
    </row>
    <row r="817" spans="7:7" x14ac:dyDescent="0.15">
      <c r="G817" s="14"/>
    </row>
    <row r="818" spans="7:7" x14ac:dyDescent="0.15">
      <c r="G818" s="14"/>
    </row>
    <row r="819" spans="7:7" x14ac:dyDescent="0.15">
      <c r="G819" s="14"/>
    </row>
    <row r="820" spans="7:7" x14ac:dyDescent="0.15">
      <c r="G820" s="14"/>
    </row>
    <row r="821" spans="7:7" x14ac:dyDescent="0.15">
      <c r="G821" s="14"/>
    </row>
    <row r="822" spans="7:7" x14ac:dyDescent="0.15">
      <c r="G822" s="14"/>
    </row>
    <row r="823" spans="7:7" x14ac:dyDescent="0.15">
      <c r="G823" s="14"/>
    </row>
    <row r="824" spans="7:7" x14ac:dyDescent="0.15">
      <c r="G824" s="14"/>
    </row>
    <row r="825" spans="7:7" x14ac:dyDescent="0.15">
      <c r="G825" s="14"/>
    </row>
    <row r="826" spans="7:7" x14ac:dyDescent="0.15">
      <c r="G826" s="14"/>
    </row>
    <row r="827" spans="7:7" x14ac:dyDescent="0.15">
      <c r="G827" s="14"/>
    </row>
    <row r="828" spans="7:7" x14ac:dyDescent="0.15">
      <c r="G828" s="14"/>
    </row>
    <row r="829" spans="7:7" x14ac:dyDescent="0.15">
      <c r="G829" s="14"/>
    </row>
    <row r="830" spans="7:7" x14ac:dyDescent="0.15">
      <c r="G830" s="14"/>
    </row>
    <row r="831" spans="7:7" x14ac:dyDescent="0.15">
      <c r="G831" s="14"/>
    </row>
    <row r="832" spans="7:7" x14ac:dyDescent="0.15">
      <c r="G832" s="14"/>
    </row>
    <row r="833" spans="7:7" x14ac:dyDescent="0.15">
      <c r="G833" s="14"/>
    </row>
    <row r="834" spans="7:7" x14ac:dyDescent="0.15">
      <c r="G834" s="14"/>
    </row>
    <row r="835" spans="7:7" x14ac:dyDescent="0.15">
      <c r="G835" s="14"/>
    </row>
    <row r="836" spans="7:7" x14ac:dyDescent="0.15">
      <c r="G836" s="14"/>
    </row>
    <row r="837" spans="7:7" x14ac:dyDescent="0.15">
      <c r="G837" s="14"/>
    </row>
    <row r="838" spans="7:7" x14ac:dyDescent="0.15">
      <c r="G838" s="14"/>
    </row>
    <row r="839" spans="7:7" x14ac:dyDescent="0.15">
      <c r="G839" s="14"/>
    </row>
    <row r="840" spans="7:7" x14ac:dyDescent="0.15">
      <c r="G840" s="14"/>
    </row>
    <row r="841" spans="7:7" x14ac:dyDescent="0.15">
      <c r="G841" s="14"/>
    </row>
    <row r="842" spans="7:7" x14ac:dyDescent="0.15">
      <c r="G842" s="14"/>
    </row>
    <row r="843" spans="7:7" x14ac:dyDescent="0.15">
      <c r="G843" s="14"/>
    </row>
    <row r="844" spans="7:7" x14ac:dyDescent="0.15">
      <c r="G844" s="14"/>
    </row>
    <row r="845" spans="7:7" x14ac:dyDescent="0.15">
      <c r="G845" s="14"/>
    </row>
    <row r="846" spans="7:7" x14ac:dyDescent="0.15">
      <c r="G846" s="14"/>
    </row>
    <row r="847" spans="7:7" x14ac:dyDescent="0.15">
      <c r="G847" s="14"/>
    </row>
    <row r="848" spans="7:7" x14ac:dyDescent="0.15">
      <c r="G848" s="14"/>
    </row>
    <row r="849" spans="7:7" x14ac:dyDescent="0.15">
      <c r="G849" s="14"/>
    </row>
    <row r="850" spans="7:7" x14ac:dyDescent="0.15">
      <c r="G850" s="14"/>
    </row>
    <row r="851" spans="7:7" x14ac:dyDescent="0.15">
      <c r="G851" s="14"/>
    </row>
    <row r="852" spans="7:7" x14ac:dyDescent="0.15">
      <c r="G852" s="14"/>
    </row>
    <row r="853" spans="7:7" x14ac:dyDescent="0.15">
      <c r="G853" s="14"/>
    </row>
    <row r="854" spans="7:7" x14ac:dyDescent="0.15">
      <c r="G854" s="14"/>
    </row>
    <row r="855" spans="7:7" x14ac:dyDescent="0.15">
      <c r="G855" s="14"/>
    </row>
    <row r="856" spans="7:7" x14ac:dyDescent="0.15">
      <c r="G856" s="14"/>
    </row>
    <row r="857" spans="7:7" x14ac:dyDescent="0.15">
      <c r="G857" s="14"/>
    </row>
    <row r="858" spans="7:7" x14ac:dyDescent="0.15">
      <c r="G858" s="14"/>
    </row>
    <row r="859" spans="7:7" x14ac:dyDescent="0.15">
      <c r="G859" s="14"/>
    </row>
    <row r="860" spans="7:7" x14ac:dyDescent="0.15">
      <c r="G860" s="14"/>
    </row>
    <row r="861" spans="7:7" x14ac:dyDescent="0.15">
      <c r="G861" s="14"/>
    </row>
    <row r="862" spans="7:7" x14ac:dyDescent="0.15">
      <c r="G862" s="14"/>
    </row>
    <row r="863" spans="7:7" x14ac:dyDescent="0.15">
      <c r="G863" s="14"/>
    </row>
    <row r="864" spans="7:7" x14ac:dyDescent="0.15">
      <c r="G864" s="14"/>
    </row>
    <row r="865" spans="7:7" x14ac:dyDescent="0.15">
      <c r="G865" s="14"/>
    </row>
    <row r="866" spans="7:7" x14ac:dyDescent="0.15">
      <c r="G866" s="14"/>
    </row>
    <row r="867" spans="7:7" x14ac:dyDescent="0.15">
      <c r="G867" s="14"/>
    </row>
    <row r="868" spans="7:7" x14ac:dyDescent="0.15">
      <c r="G868" s="14"/>
    </row>
    <row r="869" spans="7:7" x14ac:dyDescent="0.15">
      <c r="G869" s="14"/>
    </row>
    <row r="870" spans="7:7" x14ac:dyDescent="0.15">
      <c r="G870" s="14"/>
    </row>
    <row r="871" spans="7:7" x14ac:dyDescent="0.15">
      <c r="G871" s="14"/>
    </row>
    <row r="872" spans="7:7" x14ac:dyDescent="0.15">
      <c r="G872" s="14"/>
    </row>
    <row r="873" spans="7:7" x14ac:dyDescent="0.15">
      <c r="G873" s="14"/>
    </row>
    <row r="874" spans="7:7" x14ac:dyDescent="0.15">
      <c r="G874" s="14"/>
    </row>
    <row r="875" spans="7:7" x14ac:dyDescent="0.15">
      <c r="G875" s="14"/>
    </row>
    <row r="876" spans="7:7" x14ac:dyDescent="0.15">
      <c r="G876" s="14"/>
    </row>
    <row r="877" spans="7:7" x14ac:dyDescent="0.15">
      <c r="G877" s="14"/>
    </row>
    <row r="878" spans="7:7" x14ac:dyDescent="0.15">
      <c r="G878" s="14"/>
    </row>
    <row r="879" spans="7:7" x14ac:dyDescent="0.15">
      <c r="G879" s="14"/>
    </row>
    <row r="880" spans="7:7" x14ac:dyDescent="0.15">
      <c r="G880" s="14"/>
    </row>
    <row r="881" spans="7:7" x14ac:dyDescent="0.15">
      <c r="G881" s="14"/>
    </row>
    <row r="882" spans="7:7" x14ac:dyDescent="0.15">
      <c r="G882" s="14"/>
    </row>
    <row r="883" spans="7:7" x14ac:dyDescent="0.15">
      <c r="G883" s="14"/>
    </row>
    <row r="884" spans="7:7" x14ac:dyDescent="0.15">
      <c r="G884" s="14"/>
    </row>
    <row r="885" spans="7:7" x14ac:dyDescent="0.15">
      <c r="G885" s="14"/>
    </row>
    <row r="886" spans="7:7" x14ac:dyDescent="0.15">
      <c r="G886" s="14"/>
    </row>
    <row r="887" spans="7:7" x14ac:dyDescent="0.15">
      <c r="G887" s="14"/>
    </row>
    <row r="888" spans="7:7" x14ac:dyDescent="0.15">
      <c r="G888" s="14"/>
    </row>
    <row r="889" spans="7:7" x14ac:dyDescent="0.15">
      <c r="G889" s="14"/>
    </row>
    <row r="890" spans="7:7" x14ac:dyDescent="0.15">
      <c r="G890" s="14"/>
    </row>
    <row r="891" spans="7:7" x14ac:dyDescent="0.15">
      <c r="G891" s="14"/>
    </row>
    <row r="892" spans="7:7" x14ac:dyDescent="0.15">
      <c r="G892" s="14"/>
    </row>
    <row r="893" spans="7:7" x14ac:dyDescent="0.15">
      <c r="G893" s="14"/>
    </row>
    <row r="894" spans="7:7" x14ac:dyDescent="0.15">
      <c r="G894" s="14"/>
    </row>
    <row r="895" spans="7:7" x14ac:dyDescent="0.15">
      <c r="G895" s="14"/>
    </row>
    <row r="896" spans="7:7" x14ac:dyDescent="0.15">
      <c r="G896" s="14"/>
    </row>
    <row r="897" spans="7:7" x14ac:dyDescent="0.15">
      <c r="G897" s="14"/>
    </row>
    <row r="898" spans="7:7" x14ac:dyDescent="0.15">
      <c r="G898" s="14"/>
    </row>
    <row r="899" spans="7:7" x14ac:dyDescent="0.15">
      <c r="G899" s="14"/>
    </row>
    <row r="900" spans="7:7" x14ac:dyDescent="0.15">
      <c r="G900" s="14"/>
    </row>
    <row r="901" spans="7:7" x14ac:dyDescent="0.15">
      <c r="G901" s="14"/>
    </row>
    <row r="902" spans="7:7" x14ac:dyDescent="0.15">
      <c r="G902" s="14"/>
    </row>
    <row r="903" spans="7:7" x14ac:dyDescent="0.15">
      <c r="G903" s="14"/>
    </row>
    <row r="904" spans="7:7" x14ac:dyDescent="0.15">
      <c r="G904" s="14"/>
    </row>
    <row r="905" spans="7:7" x14ac:dyDescent="0.15">
      <c r="G905" s="14"/>
    </row>
    <row r="906" spans="7:7" x14ac:dyDescent="0.15">
      <c r="G906" s="14"/>
    </row>
    <row r="907" spans="7:7" x14ac:dyDescent="0.15">
      <c r="G907" s="14"/>
    </row>
    <row r="908" spans="7:7" x14ac:dyDescent="0.15">
      <c r="G908" s="14"/>
    </row>
    <row r="909" spans="7:7" x14ac:dyDescent="0.15">
      <c r="G909" s="14"/>
    </row>
    <row r="910" spans="7:7" x14ac:dyDescent="0.15">
      <c r="G910" s="14"/>
    </row>
    <row r="911" spans="7:7" x14ac:dyDescent="0.15">
      <c r="G911" s="14"/>
    </row>
    <row r="912" spans="7:7" x14ac:dyDescent="0.15">
      <c r="G912" s="14"/>
    </row>
    <row r="913" spans="7:7" x14ac:dyDescent="0.15">
      <c r="G913" s="14"/>
    </row>
    <row r="914" spans="7:7" x14ac:dyDescent="0.15">
      <c r="G914" s="14"/>
    </row>
    <row r="915" spans="7:7" x14ac:dyDescent="0.15">
      <c r="G915" s="14"/>
    </row>
    <row r="916" spans="7:7" x14ac:dyDescent="0.15">
      <c r="G916" s="14"/>
    </row>
    <row r="917" spans="7:7" x14ac:dyDescent="0.15">
      <c r="G917" s="14"/>
    </row>
    <row r="918" spans="7:7" x14ac:dyDescent="0.15">
      <c r="G918" s="14"/>
    </row>
    <row r="919" spans="7:7" x14ac:dyDescent="0.15">
      <c r="G919" s="14"/>
    </row>
    <row r="920" spans="7:7" x14ac:dyDescent="0.15">
      <c r="G920" s="14"/>
    </row>
    <row r="921" spans="7:7" x14ac:dyDescent="0.15">
      <c r="G921" s="14"/>
    </row>
    <row r="922" spans="7:7" x14ac:dyDescent="0.15">
      <c r="G922" s="14"/>
    </row>
    <row r="923" spans="7:7" x14ac:dyDescent="0.15">
      <c r="G923" s="14"/>
    </row>
    <row r="924" spans="7:7" x14ac:dyDescent="0.15">
      <c r="G924" s="14"/>
    </row>
    <row r="925" spans="7:7" x14ac:dyDescent="0.15">
      <c r="G925" s="14"/>
    </row>
    <row r="926" spans="7:7" x14ac:dyDescent="0.15">
      <c r="G926" s="14"/>
    </row>
    <row r="927" spans="7:7" x14ac:dyDescent="0.15">
      <c r="G927" s="14"/>
    </row>
    <row r="928" spans="7:7" x14ac:dyDescent="0.15">
      <c r="G928" s="14"/>
    </row>
    <row r="929" spans="7:7" x14ac:dyDescent="0.15">
      <c r="G929" s="14"/>
    </row>
    <row r="930" spans="7:7" x14ac:dyDescent="0.15">
      <c r="G930" s="14"/>
    </row>
    <row r="931" spans="7:7" x14ac:dyDescent="0.15">
      <c r="G931" s="14"/>
    </row>
    <row r="932" spans="7:7" x14ac:dyDescent="0.15">
      <c r="G932" s="14"/>
    </row>
    <row r="933" spans="7:7" x14ac:dyDescent="0.15">
      <c r="G933" s="14"/>
    </row>
    <row r="934" spans="7:7" x14ac:dyDescent="0.15">
      <c r="G934" s="14"/>
    </row>
    <row r="935" spans="7:7" x14ac:dyDescent="0.15">
      <c r="G935" s="14"/>
    </row>
    <row r="936" spans="7:7" x14ac:dyDescent="0.15">
      <c r="G936" s="14"/>
    </row>
    <row r="937" spans="7:7" x14ac:dyDescent="0.15">
      <c r="G937" s="14"/>
    </row>
    <row r="938" spans="7:7" x14ac:dyDescent="0.15">
      <c r="G938" s="14"/>
    </row>
    <row r="939" spans="7:7" x14ac:dyDescent="0.15">
      <c r="G939" s="14"/>
    </row>
    <row r="940" spans="7:7" x14ac:dyDescent="0.15">
      <c r="G940" s="14"/>
    </row>
    <row r="941" spans="7:7" x14ac:dyDescent="0.15">
      <c r="G941" s="14"/>
    </row>
    <row r="942" spans="7:7" x14ac:dyDescent="0.15">
      <c r="G942" s="14"/>
    </row>
    <row r="943" spans="7:7" x14ac:dyDescent="0.15">
      <c r="G943" s="14"/>
    </row>
    <row r="944" spans="7:7" x14ac:dyDescent="0.15">
      <c r="G944" s="14"/>
    </row>
    <row r="945" spans="7:7" x14ac:dyDescent="0.15">
      <c r="G945" s="14"/>
    </row>
    <row r="946" spans="7:7" x14ac:dyDescent="0.15">
      <c r="G946" s="14"/>
    </row>
    <row r="947" spans="7:7" x14ac:dyDescent="0.15">
      <c r="G947" s="14"/>
    </row>
    <row r="948" spans="7:7" x14ac:dyDescent="0.15">
      <c r="G948" s="14"/>
    </row>
    <row r="949" spans="7:7" x14ac:dyDescent="0.15">
      <c r="G949" s="14"/>
    </row>
    <row r="950" spans="7:7" x14ac:dyDescent="0.15">
      <c r="G950" s="14"/>
    </row>
    <row r="951" spans="7:7" x14ac:dyDescent="0.15">
      <c r="G951" s="14"/>
    </row>
    <row r="952" spans="7:7" x14ac:dyDescent="0.15">
      <c r="G952" s="14"/>
    </row>
    <row r="953" spans="7:7" x14ac:dyDescent="0.15">
      <c r="G953" s="14"/>
    </row>
    <row r="954" spans="7:7" x14ac:dyDescent="0.15">
      <c r="G954" s="14"/>
    </row>
    <row r="955" spans="7:7" x14ac:dyDescent="0.15">
      <c r="G955" s="14"/>
    </row>
    <row r="956" spans="7:7" x14ac:dyDescent="0.15">
      <c r="G956" s="14"/>
    </row>
    <row r="957" spans="7:7" x14ac:dyDescent="0.15">
      <c r="G957" s="14"/>
    </row>
    <row r="958" spans="7:7" x14ac:dyDescent="0.15">
      <c r="G958" s="14"/>
    </row>
    <row r="959" spans="7:7" x14ac:dyDescent="0.15">
      <c r="G959" s="14"/>
    </row>
    <row r="960" spans="7:7" x14ac:dyDescent="0.15">
      <c r="G960" s="14"/>
    </row>
    <row r="961" spans="7:7" x14ac:dyDescent="0.15">
      <c r="G961" s="14"/>
    </row>
    <row r="962" spans="7:7" x14ac:dyDescent="0.15">
      <c r="G962" s="14"/>
    </row>
    <row r="963" spans="7:7" x14ac:dyDescent="0.15">
      <c r="G963" s="14"/>
    </row>
    <row r="964" spans="7:7" x14ac:dyDescent="0.15">
      <c r="G964" s="14"/>
    </row>
    <row r="965" spans="7:7" x14ac:dyDescent="0.15">
      <c r="G965" s="14"/>
    </row>
    <row r="966" spans="7:7" x14ac:dyDescent="0.15">
      <c r="G966" s="14"/>
    </row>
    <row r="967" spans="7:7" x14ac:dyDescent="0.15">
      <c r="G967" s="14"/>
    </row>
    <row r="968" spans="7:7" x14ac:dyDescent="0.15">
      <c r="G968" s="14"/>
    </row>
    <row r="969" spans="7:7" x14ac:dyDescent="0.15">
      <c r="G969" s="14"/>
    </row>
    <row r="970" spans="7:7" x14ac:dyDescent="0.15">
      <c r="G970" s="14"/>
    </row>
    <row r="971" spans="7:7" x14ac:dyDescent="0.15">
      <c r="G971" s="14"/>
    </row>
    <row r="972" spans="7:7" x14ac:dyDescent="0.15">
      <c r="G972" s="14"/>
    </row>
    <row r="973" spans="7:7" x14ac:dyDescent="0.15">
      <c r="G973" s="14"/>
    </row>
    <row r="974" spans="7:7" x14ac:dyDescent="0.15">
      <c r="G974" s="14"/>
    </row>
    <row r="975" spans="7:7" x14ac:dyDescent="0.15">
      <c r="G975" s="14"/>
    </row>
    <row r="976" spans="7:7" x14ac:dyDescent="0.15">
      <c r="G976" s="14"/>
    </row>
    <row r="977" spans="7:7" x14ac:dyDescent="0.15">
      <c r="G977" s="14"/>
    </row>
    <row r="978" spans="7:7" x14ac:dyDescent="0.15">
      <c r="G978" s="14"/>
    </row>
    <row r="979" spans="7:7" x14ac:dyDescent="0.15">
      <c r="G979" s="14"/>
    </row>
    <row r="980" spans="7:7" x14ac:dyDescent="0.15">
      <c r="G980" s="14"/>
    </row>
    <row r="981" spans="7:7" x14ac:dyDescent="0.15">
      <c r="G981" s="14"/>
    </row>
    <row r="982" spans="7:7" x14ac:dyDescent="0.15">
      <c r="G982" s="14"/>
    </row>
    <row r="983" spans="7:7" x14ac:dyDescent="0.15">
      <c r="G983" s="14"/>
    </row>
    <row r="984" spans="7:7" x14ac:dyDescent="0.15">
      <c r="G984" s="14"/>
    </row>
    <row r="985" spans="7:7" x14ac:dyDescent="0.15">
      <c r="G985" s="14"/>
    </row>
    <row r="986" spans="7:7" x14ac:dyDescent="0.15">
      <c r="G986" s="14"/>
    </row>
    <row r="987" spans="7:7" x14ac:dyDescent="0.15">
      <c r="G987" s="14"/>
    </row>
    <row r="988" spans="7:7" x14ac:dyDescent="0.15">
      <c r="G988" s="14"/>
    </row>
    <row r="989" spans="7:7" x14ac:dyDescent="0.15">
      <c r="G989" s="14"/>
    </row>
    <row r="990" spans="7:7" x14ac:dyDescent="0.15">
      <c r="G990" s="14"/>
    </row>
    <row r="991" spans="7:7" x14ac:dyDescent="0.15">
      <c r="G991" s="14"/>
    </row>
    <row r="992" spans="7:7" x14ac:dyDescent="0.15">
      <c r="G992" s="14"/>
    </row>
    <row r="993" spans="7:7" x14ac:dyDescent="0.15">
      <c r="G993" s="14"/>
    </row>
    <row r="994" spans="7:7" x14ac:dyDescent="0.15">
      <c r="G994" s="14"/>
    </row>
    <row r="995" spans="7:7" x14ac:dyDescent="0.15">
      <c r="G995" s="14"/>
    </row>
    <row r="996" spans="7:7" x14ac:dyDescent="0.15">
      <c r="G996" s="14"/>
    </row>
    <row r="997" spans="7:7" x14ac:dyDescent="0.15">
      <c r="G997" s="14"/>
    </row>
    <row r="998" spans="7:7" x14ac:dyDescent="0.15">
      <c r="G998" s="14"/>
    </row>
    <row r="999" spans="7:7" x14ac:dyDescent="0.15">
      <c r="G999" s="14"/>
    </row>
    <row r="1000" spans="7:7" x14ac:dyDescent="0.15">
      <c r="G1000" s="14"/>
    </row>
    <row r="1001" spans="7:7" x14ac:dyDescent="0.15">
      <c r="G1001" s="14"/>
    </row>
    <row r="1002" spans="7:7" x14ac:dyDescent="0.15">
      <c r="G1002" s="14"/>
    </row>
    <row r="1003" spans="7:7" x14ac:dyDescent="0.15">
      <c r="G1003" s="14"/>
    </row>
    <row r="1004" spans="7:7" x14ac:dyDescent="0.15">
      <c r="G1004" s="14"/>
    </row>
    <row r="1005" spans="7:7" x14ac:dyDescent="0.15">
      <c r="G1005" s="14"/>
    </row>
    <row r="1006" spans="7:7" x14ac:dyDescent="0.15">
      <c r="G1006" s="14"/>
    </row>
    <row r="1007" spans="7:7" x14ac:dyDescent="0.15">
      <c r="G1007" s="14"/>
    </row>
    <row r="1008" spans="7:7" x14ac:dyDescent="0.15">
      <c r="G1008" s="14"/>
    </row>
    <row r="1009" spans="7:7" x14ac:dyDescent="0.15">
      <c r="G1009" s="14"/>
    </row>
    <row r="1010" spans="7:7" x14ac:dyDescent="0.15">
      <c r="G1010" s="14"/>
    </row>
    <row r="1011" spans="7:7" x14ac:dyDescent="0.15">
      <c r="G1011" s="14"/>
    </row>
    <row r="1012" spans="7:7" x14ac:dyDescent="0.15">
      <c r="G1012" s="14"/>
    </row>
    <row r="1013" spans="7:7" x14ac:dyDescent="0.15">
      <c r="G1013" s="14"/>
    </row>
    <row r="1014" spans="7:7" x14ac:dyDescent="0.15">
      <c r="G1014" s="14"/>
    </row>
    <row r="1015" spans="7:7" x14ac:dyDescent="0.15">
      <c r="G1015" s="14"/>
    </row>
    <row r="1016" spans="7:7" x14ac:dyDescent="0.15">
      <c r="G1016" s="14"/>
    </row>
    <row r="1017" spans="7:7" x14ac:dyDescent="0.15">
      <c r="G1017" s="14"/>
    </row>
    <row r="1018" spans="7:7" x14ac:dyDescent="0.15">
      <c r="G1018" s="14"/>
    </row>
    <row r="1019" spans="7:7" x14ac:dyDescent="0.15">
      <c r="G1019" s="14"/>
    </row>
    <row r="1020" spans="7:7" x14ac:dyDescent="0.15">
      <c r="G1020" s="14"/>
    </row>
    <row r="1021" spans="7:7" x14ac:dyDescent="0.15">
      <c r="G1021" s="14"/>
    </row>
    <row r="1022" spans="7:7" x14ac:dyDescent="0.15">
      <c r="G1022" s="14"/>
    </row>
    <row r="1023" spans="7:7" x14ac:dyDescent="0.15">
      <c r="G1023" s="14"/>
    </row>
    <row r="1024" spans="7:7" x14ac:dyDescent="0.15">
      <c r="G1024" s="14"/>
    </row>
    <row r="1025" spans="7:7" x14ac:dyDescent="0.15">
      <c r="G1025" s="14"/>
    </row>
    <row r="1026" spans="7:7" x14ac:dyDescent="0.15">
      <c r="G1026" s="14"/>
    </row>
    <row r="1027" spans="7:7" x14ac:dyDescent="0.15">
      <c r="G1027" s="14"/>
    </row>
    <row r="1028" spans="7:7" x14ac:dyDescent="0.15">
      <c r="G1028" s="14"/>
    </row>
    <row r="1029" spans="7:7" x14ac:dyDescent="0.15">
      <c r="G1029" s="14"/>
    </row>
    <row r="1030" spans="7:7" x14ac:dyDescent="0.15">
      <c r="G1030" s="14"/>
    </row>
    <row r="1031" spans="7:7" x14ac:dyDescent="0.15">
      <c r="G1031" s="14"/>
    </row>
    <row r="1032" spans="7:7" x14ac:dyDescent="0.15">
      <c r="G1032" s="14"/>
    </row>
    <row r="1033" spans="7:7" x14ac:dyDescent="0.15">
      <c r="G1033" s="14"/>
    </row>
    <row r="1034" spans="7:7" x14ac:dyDescent="0.15">
      <c r="G1034" s="14"/>
    </row>
    <row r="1035" spans="7:7" x14ac:dyDescent="0.15">
      <c r="G1035" s="14"/>
    </row>
    <row r="1036" spans="7:7" x14ac:dyDescent="0.15">
      <c r="G1036" s="14"/>
    </row>
    <row r="1037" spans="7:7" x14ac:dyDescent="0.15">
      <c r="G1037" s="14"/>
    </row>
    <row r="1038" spans="7:7" x14ac:dyDescent="0.15">
      <c r="G1038" s="14"/>
    </row>
    <row r="1039" spans="7:7" x14ac:dyDescent="0.15">
      <c r="G1039" s="14"/>
    </row>
    <row r="1040" spans="7:7" x14ac:dyDescent="0.15">
      <c r="G1040" s="14"/>
    </row>
    <row r="1041" spans="7:7" x14ac:dyDescent="0.15">
      <c r="G1041" s="14"/>
    </row>
    <row r="1042" spans="7:7" x14ac:dyDescent="0.15">
      <c r="G1042" s="14"/>
    </row>
    <row r="1043" spans="7:7" x14ac:dyDescent="0.15">
      <c r="G1043" s="14"/>
    </row>
    <row r="1044" spans="7:7" x14ac:dyDescent="0.15">
      <c r="G1044" s="14"/>
    </row>
    <row r="1045" spans="7:7" x14ac:dyDescent="0.15">
      <c r="G1045" s="14"/>
    </row>
    <row r="1046" spans="7:7" x14ac:dyDescent="0.15">
      <c r="G1046" s="14"/>
    </row>
    <row r="1047" spans="7:7" x14ac:dyDescent="0.15">
      <c r="G1047" s="14"/>
    </row>
    <row r="1048" spans="7:7" x14ac:dyDescent="0.15">
      <c r="G1048" s="14"/>
    </row>
    <row r="1049" spans="7:7" x14ac:dyDescent="0.15">
      <c r="G1049" s="14"/>
    </row>
    <row r="1050" spans="7:7" x14ac:dyDescent="0.15">
      <c r="G1050" s="14"/>
    </row>
    <row r="1051" spans="7:7" x14ac:dyDescent="0.15">
      <c r="G1051" s="14"/>
    </row>
    <row r="1052" spans="7:7" x14ac:dyDescent="0.15">
      <c r="G1052" s="14"/>
    </row>
    <row r="1053" spans="7:7" x14ac:dyDescent="0.15">
      <c r="G1053" s="14"/>
    </row>
    <row r="1054" spans="7:7" x14ac:dyDescent="0.15">
      <c r="G1054" s="14"/>
    </row>
    <row r="1055" spans="7:7" x14ac:dyDescent="0.15">
      <c r="G1055" s="14"/>
    </row>
    <row r="1056" spans="7:7" x14ac:dyDescent="0.15">
      <c r="G1056" s="14"/>
    </row>
    <row r="1057" spans="7:7" x14ac:dyDescent="0.15">
      <c r="G1057" s="14"/>
    </row>
    <row r="1058" spans="7:7" x14ac:dyDescent="0.15">
      <c r="G1058" s="14"/>
    </row>
    <row r="1059" spans="7:7" x14ac:dyDescent="0.15">
      <c r="G1059" s="14"/>
    </row>
    <row r="1060" spans="7:7" x14ac:dyDescent="0.15">
      <c r="G1060" s="14"/>
    </row>
    <row r="1061" spans="7:7" x14ac:dyDescent="0.15">
      <c r="G1061" s="14"/>
    </row>
    <row r="1062" spans="7:7" x14ac:dyDescent="0.15">
      <c r="G1062" s="14"/>
    </row>
    <row r="1063" spans="7:7" x14ac:dyDescent="0.15">
      <c r="G1063" s="14"/>
    </row>
    <row r="1064" spans="7:7" x14ac:dyDescent="0.15">
      <c r="G1064" s="14"/>
    </row>
    <row r="1065" spans="7:7" x14ac:dyDescent="0.15">
      <c r="G1065" s="14"/>
    </row>
    <row r="1066" spans="7:7" x14ac:dyDescent="0.15">
      <c r="G1066" s="14"/>
    </row>
    <row r="1067" spans="7:7" x14ac:dyDescent="0.15">
      <c r="G1067" s="14"/>
    </row>
    <row r="1068" spans="7:7" x14ac:dyDescent="0.15">
      <c r="G1068" s="14"/>
    </row>
    <row r="1069" spans="7:7" x14ac:dyDescent="0.15">
      <c r="G1069" s="14"/>
    </row>
    <row r="1070" spans="7:7" x14ac:dyDescent="0.15">
      <c r="G1070" s="14"/>
    </row>
    <row r="1071" spans="7:7" x14ac:dyDescent="0.15">
      <c r="G1071" s="14"/>
    </row>
    <row r="1072" spans="7:7" x14ac:dyDescent="0.15">
      <c r="G1072" s="14"/>
    </row>
    <row r="1073" spans="7:7" x14ac:dyDescent="0.15">
      <c r="G1073" s="14"/>
    </row>
    <row r="1074" spans="7:7" x14ac:dyDescent="0.15">
      <c r="G1074" s="14"/>
    </row>
    <row r="1075" spans="7:7" x14ac:dyDescent="0.15">
      <c r="G1075" s="14"/>
    </row>
    <row r="1076" spans="7:7" x14ac:dyDescent="0.15">
      <c r="G1076" s="14"/>
    </row>
    <row r="1077" spans="7:7" x14ac:dyDescent="0.15">
      <c r="G1077" s="14"/>
    </row>
    <row r="1078" spans="7:7" x14ac:dyDescent="0.15">
      <c r="G1078" s="14"/>
    </row>
    <row r="1079" spans="7:7" x14ac:dyDescent="0.15">
      <c r="G1079" s="14"/>
    </row>
    <row r="1080" spans="7:7" x14ac:dyDescent="0.15">
      <c r="G1080" s="14"/>
    </row>
    <row r="1081" spans="7:7" x14ac:dyDescent="0.15">
      <c r="G1081" s="14"/>
    </row>
    <row r="1082" spans="7:7" x14ac:dyDescent="0.15">
      <c r="G1082" s="14"/>
    </row>
    <row r="1083" spans="7:7" x14ac:dyDescent="0.15">
      <c r="G1083" s="14"/>
    </row>
    <row r="1084" spans="7:7" x14ac:dyDescent="0.15">
      <c r="G1084" s="14"/>
    </row>
    <row r="1085" spans="7:7" x14ac:dyDescent="0.15">
      <c r="G1085" s="14"/>
    </row>
    <row r="1086" spans="7:7" x14ac:dyDescent="0.15">
      <c r="G1086" s="14"/>
    </row>
    <row r="1087" spans="7:7" x14ac:dyDescent="0.15">
      <c r="G1087" s="14"/>
    </row>
    <row r="1088" spans="7:7" x14ac:dyDescent="0.15">
      <c r="G1088" s="14"/>
    </row>
    <row r="1089" spans="7:7" x14ac:dyDescent="0.15">
      <c r="G1089" s="14"/>
    </row>
    <row r="1090" spans="7:7" x14ac:dyDescent="0.15">
      <c r="G1090" s="14"/>
    </row>
    <row r="1091" spans="7:7" x14ac:dyDescent="0.15">
      <c r="G1091" s="14"/>
    </row>
    <row r="1092" spans="7:7" x14ac:dyDescent="0.15">
      <c r="G1092" s="14"/>
    </row>
    <row r="1093" spans="7:7" x14ac:dyDescent="0.15">
      <c r="G1093" s="14"/>
    </row>
    <row r="1094" spans="7:7" x14ac:dyDescent="0.15">
      <c r="G1094" s="14"/>
    </row>
    <row r="1095" spans="7:7" x14ac:dyDescent="0.15">
      <c r="G1095" s="14"/>
    </row>
    <row r="1096" spans="7:7" x14ac:dyDescent="0.15">
      <c r="G1096" s="14"/>
    </row>
    <row r="1097" spans="7:7" x14ac:dyDescent="0.15">
      <c r="G1097" s="14"/>
    </row>
    <row r="1098" spans="7:7" x14ac:dyDescent="0.15">
      <c r="G1098" s="14"/>
    </row>
    <row r="1099" spans="7:7" x14ac:dyDescent="0.15">
      <c r="G1099" s="14"/>
    </row>
    <row r="1100" spans="7:7" x14ac:dyDescent="0.15">
      <c r="G1100" s="14"/>
    </row>
    <row r="1101" spans="7:7" x14ac:dyDescent="0.15">
      <c r="G1101" s="14"/>
    </row>
    <row r="1102" spans="7:7" x14ac:dyDescent="0.15">
      <c r="G1102" s="14"/>
    </row>
    <row r="1103" spans="7:7" x14ac:dyDescent="0.15">
      <c r="G1103" s="14"/>
    </row>
    <row r="1104" spans="7:7" x14ac:dyDescent="0.15">
      <c r="G1104" s="14"/>
    </row>
    <row r="1105" spans="7:7" x14ac:dyDescent="0.15">
      <c r="G1105" s="14"/>
    </row>
    <row r="1106" spans="7:7" x14ac:dyDescent="0.15">
      <c r="G1106" s="14"/>
    </row>
    <row r="1107" spans="7:7" x14ac:dyDescent="0.15">
      <c r="G1107" s="14"/>
    </row>
    <row r="1108" spans="7:7" x14ac:dyDescent="0.15">
      <c r="G1108" s="14"/>
    </row>
    <row r="1109" spans="7:7" x14ac:dyDescent="0.15">
      <c r="G1109" s="14"/>
    </row>
    <row r="1110" spans="7:7" x14ac:dyDescent="0.15">
      <c r="G1110" s="14"/>
    </row>
    <row r="1111" spans="7:7" x14ac:dyDescent="0.15">
      <c r="G1111" s="14"/>
    </row>
    <row r="1112" spans="7:7" x14ac:dyDescent="0.15">
      <c r="G1112" s="14"/>
    </row>
    <row r="1113" spans="7:7" x14ac:dyDescent="0.15">
      <c r="G1113" s="14"/>
    </row>
    <row r="1114" spans="7:7" x14ac:dyDescent="0.15">
      <c r="G1114" s="14"/>
    </row>
    <row r="1115" spans="7:7" x14ac:dyDescent="0.15">
      <c r="G1115" s="14"/>
    </row>
    <row r="1116" spans="7:7" x14ac:dyDescent="0.15">
      <c r="G1116" s="14"/>
    </row>
    <row r="1117" spans="7:7" x14ac:dyDescent="0.15">
      <c r="G1117" s="14"/>
    </row>
    <row r="1118" spans="7:7" x14ac:dyDescent="0.15">
      <c r="G1118" s="14"/>
    </row>
    <row r="1119" spans="7:7" x14ac:dyDescent="0.15">
      <c r="G1119" s="14"/>
    </row>
    <row r="1120" spans="7:7" x14ac:dyDescent="0.15">
      <c r="G1120" s="14"/>
    </row>
    <row r="1121" spans="7:7" x14ac:dyDescent="0.15">
      <c r="G1121" s="14"/>
    </row>
    <row r="1122" spans="7:7" x14ac:dyDescent="0.15">
      <c r="G1122" s="14"/>
    </row>
    <row r="1123" spans="7:7" x14ac:dyDescent="0.15">
      <c r="G1123" s="14"/>
    </row>
    <row r="1124" spans="7:7" x14ac:dyDescent="0.15">
      <c r="G1124" s="14"/>
    </row>
    <row r="1125" spans="7:7" x14ac:dyDescent="0.15">
      <c r="G1125" s="14"/>
    </row>
    <row r="1126" spans="7:7" x14ac:dyDescent="0.15">
      <c r="G1126" s="14"/>
    </row>
    <row r="1127" spans="7:7" x14ac:dyDescent="0.15">
      <c r="G1127" s="14"/>
    </row>
    <row r="1128" spans="7:7" x14ac:dyDescent="0.15">
      <c r="G1128" s="14"/>
    </row>
    <row r="1129" spans="7:7" x14ac:dyDescent="0.15">
      <c r="G1129" s="14"/>
    </row>
    <row r="1130" spans="7:7" x14ac:dyDescent="0.15">
      <c r="G1130" s="14"/>
    </row>
    <row r="1131" spans="7:7" x14ac:dyDescent="0.15">
      <c r="G1131" s="14"/>
    </row>
    <row r="1132" spans="7:7" x14ac:dyDescent="0.15">
      <c r="G1132" s="14"/>
    </row>
    <row r="1133" spans="7:7" x14ac:dyDescent="0.15">
      <c r="G1133" s="14"/>
    </row>
    <row r="1134" spans="7:7" x14ac:dyDescent="0.15">
      <c r="G1134" s="14"/>
    </row>
    <row r="1135" spans="7:7" x14ac:dyDescent="0.15">
      <c r="G1135" s="14"/>
    </row>
    <row r="1136" spans="7:7" x14ac:dyDescent="0.15">
      <c r="G1136" s="14"/>
    </row>
    <row r="1137" spans="7:7" x14ac:dyDescent="0.15">
      <c r="G1137" s="14"/>
    </row>
    <row r="1138" spans="7:7" x14ac:dyDescent="0.15">
      <c r="G1138" s="14"/>
    </row>
    <row r="1139" spans="7:7" x14ac:dyDescent="0.15">
      <c r="G1139" s="14"/>
    </row>
    <row r="1140" spans="7:7" x14ac:dyDescent="0.15">
      <c r="G1140" s="14"/>
    </row>
    <row r="1141" spans="7:7" x14ac:dyDescent="0.15">
      <c r="G1141" s="14"/>
    </row>
    <row r="1142" spans="7:7" x14ac:dyDescent="0.15">
      <c r="G1142" s="14"/>
    </row>
    <row r="1143" spans="7:7" x14ac:dyDescent="0.15">
      <c r="G1143" s="14"/>
    </row>
    <row r="1144" spans="7:7" x14ac:dyDescent="0.15">
      <c r="G1144" s="14"/>
    </row>
    <row r="1145" spans="7:7" x14ac:dyDescent="0.15">
      <c r="G1145" s="14"/>
    </row>
    <row r="1146" spans="7:7" x14ac:dyDescent="0.15">
      <c r="G1146" s="14"/>
    </row>
    <row r="1147" spans="7:7" x14ac:dyDescent="0.15">
      <c r="G1147" s="14"/>
    </row>
    <row r="1148" spans="7:7" x14ac:dyDescent="0.15">
      <c r="G1148" s="14"/>
    </row>
    <row r="1149" spans="7:7" x14ac:dyDescent="0.15">
      <c r="G1149" s="14"/>
    </row>
    <row r="1150" spans="7:7" x14ac:dyDescent="0.15">
      <c r="G1150" s="14"/>
    </row>
    <row r="1151" spans="7:7" x14ac:dyDescent="0.15">
      <c r="G1151" s="14"/>
    </row>
    <row r="1152" spans="7:7" x14ac:dyDescent="0.15">
      <c r="G1152" s="14"/>
    </row>
    <row r="1153" spans="7:7" x14ac:dyDescent="0.15">
      <c r="G1153" s="14"/>
    </row>
    <row r="1154" spans="7:7" x14ac:dyDescent="0.15">
      <c r="G1154" s="14"/>
    </row>
    <row r="1155" spans="7:7" x14ac:dyDescent="0.15">
      <c r="G1155" s="14"/>
    </row>
    <row r="1156" spans="7:7" x14ac:dyDescent="0.15">
      <c r="G1156" s="14"/>
    </row>
    <row r="1157" spans="7:7" x14ac:dyDescent="0.15">
      <c r="G1157" s="14"/>
    </row>
    <row r="1158" spans="7:7" x14ac:dyDescent="0.15">
      <c r="G1158" s="14"/>
    </row>
    <row r="1159" spans="7:7" x14ac:dyDescent="0.15">
      <c r="G1159" s="14"/>
    </row>
    <row r="1160" spans="7:7" x14ac:dyDescent="0.15">
      <c r="G1160" s="14"/>
    </row>
    <row r="1161" spans="7:7" x14ac:dyDescent="0.15">
      <c r="G1161" s="14"/>
    </row>
    <row r="1162" spans="7:7" x14ac:dyDescent="0.15">
      <c r="G1162" s="14"/>
    </row>
    <row r="1163" spans="7:7" x14ac:dyDescent="0.15">
      <c r="G1163" s="14"/>
    </row>
    <row r="1164" spans="7:7" x14ac:dyDescent="0.15">
      <c r="G1164" s="14"/>
    </row>
    <row r="1165" spans="7:7" x14ac:dyDescent="0.15">
      <c r="G1165" s="14"/>
    </row>
    <row r="1166" spans="7:7" x14ac:dyDescent="0.15">
      <c r="G1166" s="14"/>
    </row>
    <row r="1167" spans="7:7" x14ac:dyDescent="0.15">
      <c r="G1167" s="14"/>
    </row>
    <row r="1168" spans="7:7" x14ac:dyDescent="0.15">
      <c r="G1168" s="14"/>
    </row>
    <row r="1169" spans="7:7" x14ac:dyDescent="0.15">
      <c r="G1169" s="14"/>
    </row>
    <row r="1170" spans="7:7" x14ac:dyDescent="0.15">
      <c r="G1170" s="14"/>
    </row>
    <row r="1171" spans="7:7" x14ac:dyDescent="0.15">
      <c r="G1171" s="14"/>
    </row>
    <row r="1172" spans="7:7" x14ac:dyDescent="0.15">
      <c r="G1172" s="14"/>
    </row>
    <row r="1173" spans="7:7" x14ac:dyDescent="0.15">
      <c r="G1173" s="14"/>
    </row>
    <row r="1174" spans="7:7" x14ac:dyDescent="0.15">
      <c r="G1174" s="14"/>
    </row>
    <row r="1175" spans="7:7" x14ac:dyDescent="0.15">
      <c r="G1175" s="14"/>
    </row>
    <row r="1176" spans="7:7" x14ac:dyDescent="0.15">
      <c r="G1176" s="14"/>
    </row>
    <row r="1177" spans="7:7" x14ac:dyDescent="0.15">
      <c r="G1177" s="14"/>
    </row>
    <row r="1178" spans="7:7" x14ac:dyDescent="0.15">
      <c r="G1178" s="14"/>
    </row>
    <row r="1179" spans="7:7" x14ac:dyDescent="0.15">
      <c r="G1179" s="14"/>
    </row>
    <row r="1180" spans="7:7" x14ac:dyDescent="0.15">
      <c r="G1180" s="14"/>
    </row>
    <row r="1181" spans="7:7" x14ac:dyDescent="0.15">
      <c r="G1181" s="14"/>
    </row>
    <row r="1182" spans="7:7" x14ac:dyDescent="0.15">
      <c r="G1182" s="14"/>
    </row>
    <row r="1183" spans="7:7" x14ac:dyDescent="0.15">
      <c r="G1183" s="14"/>
    </row>
    <row r="1184" spans="7:7" x14ac:dyDescent="0.15">
      <c r="G1184" s="14"/>
    </row>
    <row r="1185" spans="7:7" x14ac:dyDescent="0.15">
      <c r="G1185" s="14"/>
    </row>
    <row r="1186" spans="7:7" x14ac:dyDescent="0.15">
      <c r="G1186" s="14"/>
    </row>
    <row r="1187" spans="7:7" x14ac:dyDescent="0.15">
      <c r="G1187" s="14"/>
    </row>
    <row r="1188" spans="7:7" x14ac:dyDescent="0.15">
      <c r="G1188" s="14"/>
    </row>
    <row r="1189" spans="7:7" x14ac:dyDescent="0.15">
      <c r="G1189" s="14"/>
    </row>
    <row r="1190" spans="7:7" x14ac:dyDescent="0.15">
      <c r="G1190" s="14"/>
    </row>
    <row r="1191" spans="7:7" x14ac:dyDescent="0.15">
      <c r="G1191" s="14"/>
    </row>
    <row r="1192" spans="7:7" x14ac:dyDescent="0.15">
      <c r="G1192" s="14"/>
    </row>
    <row r="1193" spans="7:7" x14ac:dyDescent="0.15">
      <c r="G1193" s="14"/>
    </row>
    <row r="1194" spans="7:7" x14ac:dyDescent="0.15">
      <c r="G1194" s="14"/>
    </row>
    <row r="1195" spans="7:7" x14ac:dyDescent="0.15">
      <c r="G1195" s="14"/>
    </row>
    <row r="1196" spans="7:7" x14ac:dyDescent="0.15">
      <c r="G1196" s="14"/>
    </row>
    <row r="1197" spans="7:7" x14ac:dyDescent="0.15">
      <c r="G1197" s="14"/>
    </row>
    <row r="1198" spans="7:7" x14ac:dyDescent="0.15">
      <c r="G1198" s="14"/>
    </row>
    <row r="1199" spans="7:7" x14ac:dyDescent="0.15">
      <c r="G1199" s="14"/>
    </row>
    <row r="1200" spans="7:7" x14ac:dyDescent="0.15">
      <c r="G1200" s="14"/>
    </row>
    <row r="1201" spans="7:7" x14ac:dyDescent="0.15">
      <c r="G1201" s="14"/>
    </row>
    <row r="1202" spans="7:7" x14ac:dyDescent="0.15">
      <c r="G1202" s="14"/>
    </row>
    <row r="1203" spans="7:7" x14ac:dyDescent="0.15">
      <c r="G1203" s="14"/>
    </row>
    <row r="1204" spans="7:7" x14ac:dyDescent="0.15">
      <c r="G1204" s="14"/>
    </row>
    <row r="1205" spans="7:7" x14ac:dyDescent="0.15">
      <c r="G1205" s="14"/>
    </row>
    <row r="1206" spans="7:7" x14ac:dyDescent="0.15">
      <c r="G1206" s="14"/>
    </row>
    <row r="1207" spans="7:7" x14ac:dyDescent="0.15">
      <c r="G1207" s="14"/>
    </row>
    <row r="1208" spans="7:7" x14ac:dyDescent="0.15">
      <c r="G1208" s="14"/>
    </row>
    <row r="1209" spans="7:7" x14ac:dyDescent="0.15">
      <c r="G1209" s="14"/>
    </row>
    <row r="1210" spans="7:7" x14ac:dyDescent="0.15">
      <c r="G1210" s="14"/>
    </row>
    <row r="1211" spans="7:7" x14ac:dyDescent="0.15">
      <c r="G1211" s="14"/>
    </row>
    <row r="1212" spans="7:7" x14ac:dyDescent="0.15">
      <c r="G1212" s="14"/>
    </row>
    <row r="1213" spans="7:7" x14ac:dyDescent="0.15">
      <c r="G1213" s="14"/>
    </row>
    <row r="1214" spans="7:7" x14ac:dyDescent="0.15">
      <c r="G1214" s="14"/>
    </row>
    <row r="1215" spans="7:7" x14ac:dyDescent="0.15">
      <c r="G1215" s="14"/>
    </row>
    <row r="1216" spans="7:7" x14ac:dyDescent="0.15">
      <c r="G1216" s="14"/>
    </row>
    <row r="1217" spans="7:7" x14ac:dyDescent="0.15">
      <c r="G1217" s="14"/>
    </row>
    <row r="1218" spans="7:7" x14ac:dyDescent="0.15">
      <c r="G1218" s="14"/>
    </row>
    <row r="1219" spans="7:7" x14ac:dyDescent="0.15">
      <c r="G1219" s="14"/>
    </row>
    <row r="1220" spans="7:7" x14ac:dyDescent="0.15">
      <c r="G1220" s="14"/>
    </row>
    <row r="1221" spans="7:7" x14ac:dyDescent="0.15">
      <c r="G1221" s="14"/>
    </row>
    <row r="1222" spans="7:7" x14ac:dyDescent="0.15">
      <c r="G1222" s="14"/>
    </row>
    <row r="1223" spans="7:7" x14ac:dyDescent="0.15">
      <c r="G1223" s="14"/>
    </row>
    <row r="1224" spans="7:7" x14ac:dyDescent="0.15">
      <c r="G1224" s="14"/>
    </row>
    <row r="1225" spans="7:7" x14ac:dyDescent="0.15">
      <c r="G1225" s="14"/>
    </row>
    <row r="1226" spans="7:7" x14ac:dyDescent="0.15">
      <c r="G1226" s="14"/>
    </row>
    <row r="1227" spans="7:7" x14ac:dyDescent="0.15">
      <c r="G1227" s="14"/>
    </row>
    <row r="1228" spans="7:7" x14ac:dyDescent="0.15">
      <c r="G1228" s="14"/>
    </row>
    <row r="1229" spans="7:7" x14ac:dyDescent="0.15">
      <c r="G1229" s="14"/>
    </row>
    <row r="1230" spans="7:7" x14ac:dyDescent="0.15">
      <c r="G1230" s="14"/>
    </row>
    <row r="1231" spans="7:7" x14ac:dyDescent="0.15">
      <c r="G1231" s="14"/>
    </row>
    <row r="1232" spans="7:7" x14ac:dyDescent="0.15">
      <c r="G1232" s="14"/>
    </row>
    <row r="1233" spans="7:7" x14ac:dyDescent="0.15">
      <c r="G1233" s="14"/>
    </row>
    <row r="1234" spans="7:7" x14ac:dyDescent="0.15">
      <c r="G1234" s="14"/>
    </row>
    <row r="1235" spans="7:7" x14ac:dyDescent="0.15">
      <c r="G1235" s="14"/>
    </row>
    <row r="1236" spans="7:7" x14ac:dyDescent="0.15">
      <c r="G1236" s="14"/>
    </row>
    <row r="1237" spans="7:7" x14ac:dyDescent="0.15">
      <c r="G1237" s="14"/>
    </row>
    <row r="1238" spans="7:7" x14ac:dyDescent="0.15">
      <c r="G1238" s="14"/>
    </row>
    <row r="1239" spans="7:7" x14ac:dyDescent="0.15">
      <c r="G1239" s="14"/>
    </row>
    <row r="1240" spans="7:7" x14ac:dyDescent="0.15">
      <c r="G1240" s="14"/>
    </row>
    <row r="1241" spans="7:7" x14ac:dyDescent="0.15">
      <c r="G1241" s="14"/>
    </row>
    <row r="1242" spans="7:7" x14ac:dyDescent="0.15">
      <c r="G1242" s="14"/>
    </row>
    <row r="1243" spans="7:7" x14ac:dyDescent="0.15">
      <c r="G1243" s="14"/>
    </row>
    <row r="1244" spans="7:7" x14ac:dyDescent="0.15">
      <c r="G1244" s="14"/>
    </row>
    <row r="1245" spans="7:7" x14ac:dyDescent="0.15">
      <c r="G1245" s="14"/>
    </row>
    <row r="1246" spans="7:7" x14ac:dyDescent="0.15">
      <c r="G1246" s="14"/>
    </row>
    <row r="1247" spans="7:7" x14ac:dyDescent="0.15">
      <c r="G1247" s="14"/>
    </row>
    <row r="1248" spans="7:7" x14ac:dyDescent="0.15">
      <c r="G1248" s="14"/>
    </row>
    <row r="1249" spans="7:7" x14ac:dyDescent="0.15">
      <c r="G1249" s="14"/>
    </row>
    <row r="1250" spans="7:7" x14ac:dyDescent="0.15">
      <c r="G1250" s="14"/>
    </row>
    <row r="1251" spans="7:7" x14ac:dyDescent="0.15">
      <c r="G1251" s="14"/>
    </row>
    <row r="1252" spans="7:7" x14ac:dyDescent="0.15">
      <c r="G1252" s="14"/>
    </row>
    <row r="1253" spans="7:7" x14ac:dyDescent="0.15">
      <c r="G1253" s="14"/>
    </row>
    <row r="1254" spans="7:7" x14ac:dyDescent="0.15">
      <c r="G1254" s="14"/>
    </row>
    <row r="1255" spans="7:7" x14ac:dyDescent="0.15">
      <c r="G1255" s="14"/>
    </row>
    <row r="1256" spans="7:7" x14ac:dyDescent="0.15">
      <c r="G1256" s="14"/>
    </row>
    <row r="1257" spans="7:7" x14ac:dyDescent="0.15">
      <c r="G1257" s="14"/>
    </row>
    <row r="1258" spans="7:7" x14ac:dyDescent="0.15">
      <c r="G1258" s="14"/>
    </row>
    <row r="1259" spans="7:7" x14ac:dyDescent="0.15">
      <c r="G1259" s="14"/>
    </row>
    <row r="1260" spans="7:7" x14ac:dyDescent="0.15">
      <c r="G1260" s="14"/>
    </row>
    <row r="1261" spans="7:7" x14ac:dyDescent="0.15">
      <c r="G1261" s="14"/>
    </row>
    <row r="1262" spans="7:7" x14ac:dyDescent="0.15">
      <c r="G1262" s="14"/>
    </row>
    <row r="1263" spans="7:7" x14ac:dyDescent="0.15">
      <c r="G1263" s="14"/>
    </row>
    <row r="1264" spans="7:7" x14ac:dyDescent="0.15">
      <c r="G1264" s="14"/>
    </row>
    <row r="1265" spans="7:7" x14ac:dyDescent="0.15">
      <c r="G1265" s="14"/>
    </row>
    <row r="1266" spans="7:7" x14ac:dyDescent="0.15">
      <c r="G1266" s="14"/>
    </row>
    <row r="1267" spans="7:7" x14ac:dyDescent="0.15">
      <c r="G1267" s="14"/>
    </row>
    <row r="1268" spans="7:7" x14ac:dyDescent="0.15">
      <c r="G1268" s="14"/>
    </row>
    <row r="1269" spans="7:7" x14ac:dyDescent="0.15">
      <c r="G1269" s="14"/>
    </row>
    <row r="1270" spans="7:7" x14ac:dyDescent="0.15">
      <c r="G1270" s="14"/>
    </row>
    <row r="1271" spans="7:7" x14ac:dyDescent="0.15">
      <c r="G1271" s="14"/>
    </row>
    <row r="1272" spans="7:7" x14ac:dyDescent="0.15">
      <c r="G1272" s="14"/>
    </row>
    <row r="1273" spans="7:7" x14ac:dyDescent="0.15">
      <c r="G1273" s="14"/>
    </row>
    <row r="1274" spans="7:7" x14ac:dyDescent="0.15">
      <c r="G1274" s="14"/>
    </row>
    <row r="1275" spans="7:7" x14ac:dyDescent="0.15">
      <c r="G1275" s="14"/>
    </row>
    <row r="1276" spans="7:7" x14ac:dyDescent="0.15">
      <c r="G1276" s="14"/>
    </row>
    <row r="1277" spans="7:7" x14ac:dyDescent="0.15">
      <c r="G1277" s="14"/>
    </row>
    <row r="1278" spans="7:7" x14ac:dyDescent="0.15">
      <c r="G1278" s="14"/>
    </row>
    <row r="1279" spans="7:7" x14ac:dyDescent="0.15">
      <c r="G1279" s="14"/>
    </row>
    <row r="1280" spans="7:7" x14ac:dyDescent="0.15">
      <c r="G1280" s="14"/>
    </row>
    <row r="1281" spans="7:7" x14ac:dyDescent="0.15">
      <c r="G1281" s="14"/>
    </row>
    <row r="1282" spans="7:7" x14ac:dyDescent="0.15">
      <c r="G1282" s="14"/>
    </row>
    <row r="1283" spans="7:7" x14ac:dyDescent="0.15">
      <c r="G1283" s="14"/>
    </row>
    <row r="1284" spans="7:7" x14ac:dyDescent="0.15">
      <c r="G1284" s="14"/>
    </row>
    <row r="1285" spans="7:7" x14ac:dyDescent="0.15">
      <c r="G1285" s="14"/>
    </row>
    <row r="1286" spans="7:7" x14ac:dyDescent="0.15">
      <c r="G1286" s="14"/>
    </row>
    <row r="1287" spans="7:7" x14ac:dyDescent="0.15">
      <c r="G1287" s="14"/>
    </row>
    <row r="1288" spans="7:7" x14ac:dyDescent="0.15">
      <c r="G1288" s="14"/>
    </row>
    <row r="1289" spans="7:7" x14ac:dyDescent="0.15">
      <c r="G1289" s="14"/>
    </row>
    <row r="1290" spans="7:7" x14ac:dyDescent="0.15">
      <c r="G1290" s="14"/>
    </row>
    <row r="1291" spans="7:7" x14ac:dyDescent="0.15">
      <c r="G1291" s="14"/>
    </row>
    <row r="1292" spans="7:7" x14ac:dyDescent="0.15">
      <c r="G1292" s="14"/>
    </row>
    <row r="1293" spans="7:7" x14ac:dyDescent="0.15">
      <c r="G1293" s="14"/>
    </row>
    <row r="1294" spans="7:7" x14ac:dyDescent="0.15">
      <c r="G1294" s="14"/>
    </row>
    <row r="1295" spans="7:7" x14ac:dyDescent="0.15">
      <c r="G1295" s="14"/>
    </row>
    <row r="1296" spans="7:7" x14ac:dyDescent="0.15">
      <c r="G1296" s="14"/>
    </row>
    <row r="1297" spans="7:7" x14ac:dyDescent="0.15">
      <c r="G1297" s="14"/>
    </row>
    <row r="1298" spans="7:7" x14ac:dyDescent="0.15">
      <c r="G1298" s="14"/>
    </row>
    <row r="1299" spans="7:7" x14ac:dyDescent="0.15">
      <c r="G1299" s="14"/>
    </row>
    <row r="1300" spans="7:7" x14ac:dyDescent="0.15">
      <c r="G1300" s="14"/>
    </row>
    <row r="1301" spans="7:7" x14ac:dyDescent="0.15">
      <c r="G1301" s="14"/>
    </row>
    <row r="1302" spans="7:7" x14ac:dyDescent="0.15">
      <c r="G1302" s="14"/>
    </row>
    <row r="1303" spans="7:7" x14ac:dyDescent="0.15">
      <c r="G1303" s="14"/>
    </row>
    <row r="1304" spans="7:7" x14ac:dyDescent="0.15">
      <c r="G1304" s="14"/>
    </row>
    <row r="1305" spans="7:7" x14ac:dyDescent="0.15">
      <c r="G1305" s="14"/>
    </row>
    <row r="1306" spans="7:7" x14ac:dyDescent="0.15">
      <c r="G1306" s="14"/>
    </row>
    <row r="1307" spans="7:7" x14ac:dyDescent="0.15">
      <c r="G1307" s="14"/>
    </row>
    <row r="1308" spans="7:7" x14ac:dyDescent="0.15">
      <c r="G1308" s="14"/>
    </row>
    <row r="1309" spans="7:7" x14ac:dyDescent="0.15">
      <c r="G1309" s="14"/>
    </row>
    <row r="1310" spans="7:7" x14ac:dyDescent="0.15">
      <c r="G1310" s="14"/>
    </row>
    <row r="1311" spans="7:7" x14ac:dyDescent="0.15">
      <c r="G1311" s="14"/>
    </row>
    <row r="1312" spans="7:7" x14ac:dyDescent="0.15">
      <c r="G1312" s="14"/>
    </row>
    <row r="1313" spans="7:7" x14ac:dyDescent="0.15">
      <c r="G1313" s="14"/>
    </row>
    <row r="1314" spans="7:7" x14ac:dyDescent="0.15">
      <c r="G1314" s="14"/>
    </row>
    <row r="1315" spans="7:7" x14ac:dyDescent="0.15">
      <c r="G1315" s="14"/>
    </row>
    <row r="1316" spans="7:7" x14ac:dyDescent="0.15">
      <c r="G1316" s="14"/>
    </row>
    <row r="1317" spans="7:7" x14ac:dyDescent="0.15">
      <c r="G1317" s="14"/>
    </row>
    <row r="1318" spans="7:7" x14ac:dyDescent="0.15">
      <c r="G1318" s="14"/>
    </row>
    <row r="1319" spans="7:7" x14ac:dyDescent="0.15">
      <c r="G1319" s="14"/>
    </row>
    <row r="1320" spans="7:7" x14ac:dyDescent="0.15">
      <c r="G1320" s="14"/>
    </row>
    <row r="1321" spans="7:7" x14ac:dyDescent="0.15">
      <c r="G1321" s="14"/>
    </row>
    <row r="1322" spans="7:7" x14ac:dyDescent="0.15">
      <c r="G1322" s="14"/>
    </row>
    <row r="1323" spans="7:7" x14ac:dyDescent="0.15">
      <c r="G1323" s="14"/>
    </row>
    <row r="1324" spans="7:7" x14ac:dyDescent="0.15">
      <c r="G1324" s="14"/>
    </row>
    <row r="1325" spans="7:7" x14ac:dyDescent="0.15">
      <c r="G1325" s="14"/>
    </row>
    <row r="1326" spans="7:7" x14ac:dyDescent="0.15">
      <c r="G1326" s="14"/>
    </row>
    <row r="1327" spans="7:7" x14ac:dyDescent="0.15">
      <c r="G1327" s="14"/>
    </row>
    <row r="1328" spans="7:7" x14ac:dyDescent="0.15">
      <c r="G1328" s="14"/>
    </row>
    <row r="1329" spans="7:7" x14ac:dyDescent="0.15">
      <c r="G1329" s="14"/>
    </row>
    <row r="1330" spans="7:7" x14ac:dyDescent="0.15">
      <c r="G1330" s="14"/>
    </row>
    <row r="1331" spans="7:7" x14ac:dyDescent="0.15">
      <c r="G1331" s="14"/>
    </row>
    <row r="1332" spans="7:7" x14ac:dyDescent="0.15">
      <c r="G1332" s="14"/>
    </row>
    <row r="1333" spans="7:7" x14ac:dyDescent="0.15">
      <c r="G1333" s="14"/>
    </row>
    <row r="1334" spans="7:7" x14ac:dyDescent="0.15">
      <c r="G1334" s="14"/>
    </row>
    <row r="1335" spans="7:7" x14ac:dyDescent="0.15">
      <c r="G1335" s="14"/>
    </row>
    <row r="1336" spans="7:7" x14ac:dyDescent="0.15">
      <c r="G1336" s="14"/>
    </row>
    <row r="1337" spans="7:7" x14ac:dyDescent="0.15">
      <c r="G1337" s="14"/>
    </row>
    <row r="1338" spans="7:7" x14ac:dyDescent="0.15">
      <c r="G1338" s="14"/>
    </row>
    <row r="1339" spans="7:7" x14ac:dyDescent="0.15">
      <c r="G1339" s="14"/>
    </row>
    <row r="1340" spans="7:7" x14ac:dyDescent="0.15">
      <c r="G1340" s="14"/>
    </row>
    <row r="1341" spans="7:7" x14ac:dyDescent="0.15">
      <c r="G1341" s="14"/>
    </row>
    <row r="1342" spans="7:7" x14ac:dyDescent="0.15">
      <c r="G1342" s="14"/>
    </row>
    <row r="1343" spans="7:7" x14ac:dyDescent="0.15">
      <c r="G1343" s="14"/>
    </row>
    <row r="1344" spans="7:7" x14ac:dyDescent="0.15">
      <c r="G1344" s="14"/>
    </row>
    <row r="1345" spans="7:7" x14ac:dyDescent="0.15">
      <c r="G1345" s="14"/>
    </row>
    <row r="1346" spans="7:7" x14ac:dyDescent="0.15">
      <c r="G1346" s="14"/>
    </row>
    <row r="1347" spans="7:7" x14ac:dyDescent="0.15">
      <c r="G1347" s="14"/>
    </row>
    <row r="1348" spans="7:7" x14ac:dyDescent="0.15">
      <c r="G1348" s="14"/>
    </row>
    <row r="1349" spans="7:7" x14ac:dyDescent="0.15">
      <c r="G1349" s="14"/>
    </row>
    <row r="1350" spans="7:7" x14ac:dyDescent="0.15">
      <c r="G1350" s="14"/>
    </row>
    <row r="1351" spans="7:7" x14ac:dyDescent="0.15">
      <c r="G1351" s="14"/>
    </row>
    <row r="1352" spans="7:7" x14ac:dyDescent="0.15">
      <c r="G1352" s="14"/>
    </row>
    <row r="1353" spans="7:7" x14ac:dyDescent="0.15">
      <c r="G1353" s="14"/>
    </row>
    <row r="1354" spans="7:7" x14ac:dyDescent="0.15">
      <c r="G1354" s="14"/>
    </row>
    <row r="1355" spans="7:7" x14ac:dyDescent="0.15">
      <c r="G1355" s="14"/>
    </row>
    <row r="1356" spans="7:7" x14ac:dyDescent="0.15">
      <c r="G1356" s="14"/>
    </row>
    <row r="1357" spans="7:7" x14ac:dyDescent="0.15">
      <c r="G1357" s="14"/>
    </row>
    <row r="1358" spans="7:7" x14ac:dyDescent="0.15">
      <c r="G1358" s="14"/>
    </row>
    <row r="1359" spans="7:7" x14ac:dyDescent="0.15">
      <c r="G1359" s="14"/>
    </row>
    <row r="1360" spans="7:7" x14ac:dyDescent="0.15">
      <c r="G1360" s="14"/>
    </row>
    <row r="1361" spans="7:7" x14ac:dyDescent="0.15">
      <c r="G1361" s="14"/>
    </row>
    <row r="1362" spans="7:7" x14ac:dyDescent="0.15">
      <c r="G1362" s="14"/>
    </row>
    <row r="1363" spans="7:7" x14ac:dyDescent="0.15">
      <c r="G1363" s="14"/>
    </row>
    <row r="1364" spans="7:7" x14ac:dyDescent="0.15">
      <c r="G1364" s="14"/>
    </row>
    <row r="1365" spans="7:7" x14ac:dyDescent="0.15">
      <c r="G1365" s="14"/>
    </row>
    <row r="1366" spans="7:7" x14ac:dyDescent="0.15">
      <c r="G1366" s="14"/>
    </row>
    <row r="1367" spans="7:7" x14ac:dyDescent="0.15">
      <c r="G1367" s="14"/>
    </row>
    <row r="1368" spans="7:7" x14ac:dyDescent="0.15">
      <c r="G1368" s="14"/>
    </row>
    <row r="1369" spans="7:7" x14ac:dyDescent="0.15">
      <c r="G1369" s="14"/>
    </row>
    <row r="1370" spans="7:7" x14ac:dyDescent="0.15">
      <c r="G1370" s="14"/>
    </row>
    <row r="1371" spans="7:7" x14ac:dyDescent="0.15">
      <c r="G1371" s="14"/>
    </row>
    <row r="1372" spans="7:7" x14ac:dyDescent="0.15">
      <c r="G1372" s="14"/>
    </row>
    <row r="1373" spans="7:7" x14ac:dyDescent="0.15">
      <c r="G1373" s="14"/>
    </row>
    <row r="1374" spans="7:7" x14ac:dyDescent="0.15">
      <c r="G1374" s="14"/>
    </row>
    <row r="1375" spans="7:7" x14ac:dyDescent="0.15">
      <c r="G1375" s="14"/>
    </row>
    <row r="1376" spans="7:7" x14ac:dyDescent="0.15">
      <c r="G1376" s="14"/>
    </row>
    <row r="1377" spans="7:7" x14ac:dyDescent="0.15">
      <c r="G1377" s="14"/>
    </row>
    <row r="1378" spans="7:7" x14ac:dyDescent="0.15">
      <c r="G1378" s="14"/>
    </row>
    <row r="1379" spans="7:7" x14ac:dyDescent="0.15">
      <c r="G1379" s="14"/>
    </row>
    <row r="1380" spans="7:7" x14ac:dyDescent="0.15">
      <c r="G1380" s="14"/>
    </row>
    <row r="1381" spans="7:7" x14ac:dyDescent="0.15">
      <c r="G1381" s="14"/>
    </row>
    <row r="1382" spans="7:7" x14ac:dyDescent="0.15">
      <c r="G1382" s="14"/>
    </row>
    <row r="1383" spans="7:7" x14ac:dyDescent="0.15">
      <c r="G1383" s="14"/>
    </row>
    <row r="1384" spans="7:7" x14ac:dyDescent="0.15">
      <c r="G1384" s="14"/>
    </row>
    <row r="1385" spans="7:7" x14ac:dyDescent="0.15">
      <c r="G1385" s="14"/>
    </row>
    <row r="1386" spans="7:7" x14ac:dyDescent="0.15">
      <c r="G1386" s="14"/>
    </row>
    <row r="1387" spans="7:7" x14ac:dyDescent="0.15">
      <c r="G1387" s="14"/>
    </row>
    <row r="1388" spans="7:7" x14ac:dyDescent="0.15">
      <c r="G1388" s="14"/>
    </row>
    <row r="1389" spans="7:7" x14ac:dyDescent="0.15">
      <c r="G1389" s="14"/>
    </row>
    <row r="1390" spans="7:7" x14ac:dyDescent="0.15">
      <c r="G1390" s="14"/>
    </row>
    <row r="1391" spans="7:7" x14ac:dyDescent="0.15">
      <c r="G1391" s="14"/>
    </row>
    <row r="1392" spans="7:7" x14ac:dyDescent="0.15">
      <c r="G1392" s="14"/>
    </row>
    <row r="1393" spans="7:7" x14ac:dyDescent="0.15">
      <c r="G1393" s="14"/>
    </row>
    <row r="1394" spans="7:7" x14ac:dyDescent="0.15">
      <c r="G1394" s="14"/>
    </row>
    <row r="1395" spans="7:7" x14ac:dyDescent="0.15">
      <c r="G1395" s="14"/>
    </row>
    <row r="1396" spans="7:7" x14ac:dyDescent="0.15">
      <c r="G1396" s="14"/>
    </row>
    <row r="1397" spans="7:7" x14ac:dyDescent="0.15">
      <c r="G1397" s="14"/>
    </row>
    <row r="1398" spans="7:7" x14ac:dyDescent="0.15">
      <c r="G1398" s="14"/>
    </row>
    <row r="1399" spans="7:7" x14ac:dyDescent="0.15">
      <c r="G1399" s="14"/>
    </row>
    <row r="1400" spans="7:7" x14ac:dyDescent="0.15">
      <c r="G1400" s="14"/>
    </row>
    <row r="1401" spans="7:7" x14ac:dyDescent="0.15">
      <c r="G1401" s="14"/>
    </row>
    <row r="1402" spans="7:7" x14ac:dyDescent="0.15">
      <c r="G1402" s="14"/>
    </row>
    <row r="1403" spans="7:7" x14ac:dyDescent="0.15">
      <c r="G1403" s="14"/>
    </row>
    <row r="1404" spans="7:7" x14ac:dyDescent="0.15">
      <c r="G1404" s="14"/>
    </row>
    <row r="1405" spans="7:7" x14ac:dyDescent="0.15">
      <c r="G1405" s="14"/>
    </row>
    <row r="1406" spans="7:7" x14ac:dyDescent="0.15">
      <c r="G1406" s="14"/>
    </row>
    <row r="1407" spans="7:7" x14ac:dyDescent="0.15">
      <c r="G1407" s="14"/>
    </row>
    <row r="1408" spans="7:7" x14ac:dyDescent="0.15">
      <c r="G1408" s="14"/>
    </row>
    <row r="1409" spans="7:7" x14ac:dyDescent="0.15">
      <c r="G1409" s="14"/>
    </row>
    <row r="1410" spans="7:7" x14ac:dyDescent="0.15">
      <c r="G1410" s="14"/>
    </row>
    <row r="1411" spans="7:7" x14ac:dyDescent="0.15">
      <c r="G1411" s="14"/>
    </row>
    <row r="1412" spans="7:7" x14ac:dyDescent="0.15">
      <c r="G1412" s="14"/>
    </row>
    <row r="1413" spans="7:7" x14ac:dyDescent="0.15">
      <c r="G1413" s="14"/>
    </row>
    <row r="1414" spans="7:7" x14ac:dyDescent="0.15">
      <c r="G1414" s="14"/>
    </row>
    <row r="1415" spans="7:7" x14ac:dyDescent="0.15">
      <c r="G1415" s="14"/>
    </row>
    <row r="1416" spans="7:7" x14ac:dyDescent="0.15">
      <c r="G1416" s="14"/>
    </row>
    <row r="1417" spans="7:7" x14ac:dyDescent="0.15">
      <c r="G1417" s="14"/>
    </row>
    <row r="1418" spans="7:7" x14ac:dyDescent="0.15">
      <c r="G1418" s="14"/>
    </row>
    <row r="1419" spans="7:7" x14ac:dyDescent="0.15">
      <c r="G1419" s="14"/>
    </row>
    <row r="1420" spans="7:7" x14ac:dyDescent="0.15">
      <c r="G1420" s="14"/>
    </row>
    <row r="1421" spans="7:7" x14ac:dyDescent="0.15">
      <c r="G1421" s="14"/>
    </row>
    <row r="1422" spans="7:7" x14ac:dyDescent="0.15">
      <c r="G1422" s="14"/>
    </row>
    <row r="1423" spans="7:7" x14ac:dyDescent="0.15">
      <c r="G1423" s="14"/>
    </row>
    <row r="1424" spans="7:7" x14ac:dyDescent="0.15">
      <c r="G1424" s="14"/>
    </row>
    <row r="1425" spans="7:7" x14ac:dyDescent="0.15">
      <c r="G1425" s="14"/>
    </row>
    <row r="1426" spans="7:7" x14ac:dyDescent="0.15">
      <c r="G1426" s="14"/>
    </row>
    <row r="1427" spans="7:7" x14ac:dyDescent="0.15">
      <c r="G1427" s="14"/>
    </row>
    <row r="1428" spans="7:7" x14ac:dyDescent="0.15">
      <c r="G1428" s="14"/>
    </row>
    <row r="1429" spans="7:7" x14ac:dyDescent="0.15">
      <c r="G1429" s="14"/>
    </row>
    <row r="1430" spans="7:7" x14ac:dyDescent="0.15">
      <c r="G1430" s="14"/>
    </row>
    <row r="1431" spans="7:7" x14ac:dyDescent="0.15">
      <c r="G1431" s="14"/>
    </row>
    <row r="1432" spans="7:7" x14ac:dyDescent="0.15">
      <c r="G1432" s="14"/>
    </row>
    <row r="1433" spans="7:7" x14ac:dyDescent="0.15">
      <c r="G1433" s="14"/>
    </row>
    <row r="1434" spans="7:7" x14ac:dyDescent="0.15">
      <c r="G1434" s="14"/>
    </row>
    <row r="1435" spans="7:7" x14ac:dyDescent="0.15">
      <c r="G1435" s="14"/>
    </row>
    <row r="1436" spans="7:7" x14ac:dyDescent="0.15">
      <c r="G1436" s="14"/>
    </row>
    <row r="1437" spans="7:7" x14ac:dyDescent="0.15">
      <c r="G1437" s="14"/>
    </row>
    <row r="1438" spans="7:7" x14ac:dyDescent="0.15">
      <c r="G1438" s="14"/>
    </row>
    <row r="1439" spans="7:7" x14ac:dyDescent="0.15">
      <c r="G1439" s="14"/>
    </row>
    <row r="1440" spans="7:7" x14ac:dyDescent="0.15">
      <c r="G1440" s="14"/>
    </row>
    <row r="1441" spans="7:7" x14ac:dyDescent="0.15">
      <c r="G1441" s="14"/>
    </row>
    <row r="1442" spans="7:7" x14ac:dyDescent="0.15">
      <c r="G1442" s="14"/>
    </row>
    <row r="1443" spans="7:7" x14ac:dyDescent="0.15">
      <c r="G1443" s="14"/>
    </row>
    <row r="1444" spans="7:7" x14ac:dyDescent="0.15">
      <c r="G1444" s="14"/>
    </row>
    <row r="1445" spans="7:7" x14ac:dyDescent="0.15">
      <c r="G1445" s="14"/>
    </row>
    <row r="1446" spans="7:7" x14ac:dyDescent="0.15">
      <c r="G1446" s="14"/>
    </row>
    <row r="1447" spans="7:7" x14ac:dyDescent="0.15">
      <c r="G1447" s="14"/>
    </row>
    <row r="1448" spans="7:7" x14ac:dyDescent="0.15">
      <c r="G1448" s="14"/>
    </row>
    <row r="1449" spans="7:7" x14ac:dyDescent="0.15">
      <c r="G1449" s="14"/>
    </row>
    <row r="1450" spans="7:7" x14ac:dyDescent="0.15">
      <c r="G1450" s="14"/>
    </row>
    <row r="1451" spans="7:7" x14ac:dyDescent="0.15">
      <c r="G1451" s="14"/>
    </row>
    <row r="1452" spans="7:7" x14ac:dyDescent="0.15">
      <c r="G1452" s="14"/>
    </row>
    <row r="1453" spans="7:7" x14ac:dyDescent="0.15">
      <c r="G1453" s="14"/>
    </row>
    <row r="1454" spans="7:7" x14ac:dyDescent="0.15">
      <c r="G1454" s="14"/>
    </row>
    <row r="1455" spans="7:7" x14ac:dyDescent="0.15">
      <c r="G1455" s="14"/>
    </row>
    <row r="1456" spans="7:7" x14ac:dyDescent="0.15">
      <c r="G1456" s="14"/>
    </row>
    <row r="1457" spans="7:7" x14ac:dyDescent="0.15">
      <c r="G1457" s="14"/>
    </row>
    <row r="1458" spans="7:7" x14ac:dyDescent="0.15">
      <c r="G1458" s="14"/>
    </row>
    <row r="1459" spans="7:7" x14ac:dyDescent="0.15">
      <c r="G1459" s="14"/>
    </row>
    <row r="1460" spans="7:7" x14ac:dyDescent="0.15">
      <c r="G1460" s="14"/>
    </row>
    <row r="1461" spans="7:7" x14ac:dyDescent="0.15">
      <c r="G1461" s="14"/>
    </row>
    <row r="1462" spans="7:7" x14ac:dyDescent="0.15">
      <c r="G1462" s="14"/>
    </row>
    <row r="1463" spans="7:7" x14ac:dyDescent="0.15">
      <c r="G1463" s="14"/>
    </row>
    <row r="1464" spans="7:7" x14ac:dyDescent="0.15">
      <c r="G1464" s="14"/>
    </row>
    <row r="1465" spans="7:7" x14ac:dyDescent="0.15">
      <c r="G1465" s="14"/>
    </row>
    <row r="1466" spans="7:7" x14ac:dyDescent="0.15">
      <c r="G1466" s="14"/>
    </row>
    <row r="1467" spans="7:7" x14ac:dyDescent="0.15">
      <c r="G1467" s="14"/>
    </row>
    <row r="1468" spans="7:7" x14ac:dyDescent="0.15">
      <c r="G1468" s="14"/>
    </row>
    <row r="1469" spans="7:7" x14ac:dyDescent="0.15">
      <c r="G1469" s="14"/>
    </row>
    <row r="1470" spans="7:7" x14ac:dyDescent="0.15">
      <c r="G1470" s="14"/>
    </row>
    <row r="1471" spans="7:7" x14ac:dyDescent="0.15">
      <c r="G1471" s="14"/>
    </row>
    <row r="1472" spans="7:7" x14ac:dyDescent="0.15">
      <c r="G1472" s="14"/>
    </row>
    <row r="1473" spans="7:7" x14ac:dyDescent="0.15">
      <c r="G1473" s="14"/>
    </row>
    <row r="1474" spans="7:7" x14ac:dyDescent="0.15">
      <c r="G1474" s="14"/>
    </row>
    <row r="1475" spans="7:7" x14ac:dyDescent="0.15">
      <c r="G1475" s="14"/>
    </row>
    <row r="1476" spans="7:7" x14ac:dyDescent="0.15">
      <c r="G1476" s="14"/>
    </row>
    <row r="1477" spans="7:7" x14ac:dyDescent="0.15">
      <c r="G1477" s="14"/>
    </row>
    <row r="1478" spans="7:7" x14ac:dyDescent="0.15">
      <c r="G1478" s="14"/>
    </row>
    <row r="1479" spans="7:7" x14ac:dyDescent="0.15">
      <c r="G1479" s="14"/>
    </row>
    <row r="1480" spans="7:7" x14ac:dyDescent="0.15">
      <c r="G1480" s="14"/>
    </row>
    <row r="1481" spans="7:7" x14ac:dyDescent="0.15">
      <c r="G1481" s="14"/>
    </row>
    <row r="1482" spans="7:7" x14ac:dyDescent="0.15">
      <c r="G1482" s="14"/>
    </row>
    <row r="1483" spans="7:7" x14ac:dyDescent="0.15">
      <c r="G1483" s="14"/>
    </row>
    <row r="1484" spans="7:7" x14ac:dyDescent="0.15">
      <c r="G1484" s="14"/>
    </row>
    <row r="1485" spans="7:7" x14ac:dyDescent="0.15">
      <c r="G1485" s="14"/>
    </row>
    <row r="1486" spans="7:7" x14ac:dyDescent="0.15">
      <c r="G1486" s="14"/>
    </row>
    <row r="1487" spans="7:7" x14ac:dyDescent="0.15">
      <c r="G1487" s="14"/>
    </row>
    <row r="1488" spans="7:7" x14ac:dyDescent="0.15">
      <c r="G1488" s="14"/>
    </row>
    <row r="1489" spans="7:7" x14ac:dyDescent="0.15">
      <c r="G1489" s="14"/>
    </row>
    <row r="1490" spans="7:7" x14ac:dyDescent="0.15">
      <c r="G1490" s="14"/>
    </row>
    <row r="1491" spans="7:7" x14ac:dyDescent="0.15">
      <c r="G1491" s="14"/>
    </row>
    <row r="1492" spans="7:7" x14ac:dyDescent="0.15">
      <c r="G1492" s="14"/>
    </row>
    <row r="1493" spans="7:7" x14ac:dyDescent="0.15">
      <c r="G1493" s="14"/>
    </row>
    <row r="1494" spans="7:7" x14ac:dyDescent="0.15">
      <c r="G1494" s="14"/>
    </row>
    <row r="1495" spans="7:7" x14ac:dyDescent="0.15">
      <c r="G1495" s="14"/>
    </row>
    <row r="1496" spans="7:7" x14ac:dyDescent="0.15">
      <c r="G1496" s="14"/>
    </row>
    <row r="1497" spans="7:7" x14ac:dyDescent="0.15">
      <c r="G1497" s="14"/>
    </row>
    <row r="1498" spans="7:7" x14ac:dyDescent="0.15">
      <c r="G1498" s="14"/>
    </row>
    <row r="1499" spans="7:7" x14ac:dyDescent="0.15">
      <c r="G1499" s="14"/>
    </row>
    <row r="1500" spans="7:7" x14ac:dyDescent="0.15">
      <c r="G1500" s="14"/>
    </row>
    <row r="1501" spans="7:7" x14ac:dyDescent="0.15">
      <c r="G1501" s="14"/>
    </row>
    <row r="1502" spans="7:7" x14ac:dyDescent="0.15">
      <c r="G1502" s="14"/>
    </row>
    <row r="1503" spans="7:7" x14ac:dyDescent="0.15">
      <c r="G1503" s="14"/>
    </row>
    <row r="1504" spans="7:7" x14ac:dyDescent="0.15">
      <c r="G1504" s="14"/>
    </row>
    <row r="1505" spans="7:7" x14ac:dyDescent="0.15">
      <c r="G1505" s="14"/>
    </row>
    <row r="1506" spans="7:7" x14ac:dyDescent="0.15">
      <c r="G1506" s="14"/>
    </row>
    <row r="1507" spans="7:7" x14ac:dyDescent="0.15">
      <c r="G1507" s="14"/>
    </row>
    <row r="1508" spans="7:7" x14ac:dyDescent="0.15">
      <c r="G1508" s="14"/>
    </row>
    <row r="1509" spans="7:7" x14ac:dyDescent="0.15">
      <c r="G1509" s="14"/>
    </row>
    <row r="1510" spans="7:7" x14ac:dyDescent="0.15">
      <c r="G1510" s="14"/>
    </row>
    <row r="1511" spans="7:7" x14ac:dyDescent="0.15">
      <c r="G1511" s="14"/>
    </row>
    <row r="1512" spans="7:7" x14ac:dyDescent="0.15">
      <c r="G1512" s="14"/>
    </row>
    <row r="1513" spans="7:7" x14ac:dyDescent="0.15">
      <c r="G1513" s="14"/>
    </row>
    <row r="1514" spans="7:7" x14ac:dyDescent="0.15">
      <c r="G1514" s="14"/>
    </row>
    <row r="1515" spans="7:7" x14ac:dyDescent="0.15">
      <c r="G1515" s="14"/>
    </row>
    <row r="1516" spans="7:7" x14ac:dyDescent="0.15">
      <c r="G1516" s="14"/>
    </row>
    <row r="1517" spans="7:7" x14ac:dyDescent="0.15">
      <c r="G1517" s="14"/>
    </row>
    <row r="1518" spans="7:7" x14ac:dyDescent="0.15">
      <c r="G1518" s="14"/>
    </row>
    <row r="1519" spans="7:7" x14ac:dyDescent="0.15">
      <c r="G1519" s="14"/>
    </row>
    <row r="1520" spans="7:7" x14ac:dyDescent="0.15">
      <c r="G1520" s="14"/>
    </row>
    <row r="1521" spans="7:7" x14ac:dyDescent="0.15">
      <c r="G1521" s="14"/>
    </row>
    <row r="1522" spans="7:7" x14ac:dyDescent="0.15">
      <c r="G1522" s="14"/>
    </row>
    <row r="1523" spans="7:7" x14ac:dyDescent="0.15">
      <c r="G1523" s="14"/>
    </row>
    <row r="1524" spans="7:7" x14ac:dyDescent="0.15">
      <c r="G1524" s="14"/>
    </row>
    <row r="1525" spans="7:7" x14ac:dyDescent="0.15">
      <c r="G1525" s="14"/>
    </row>
    <row r="1526" spans="7:7" x14ac:dyDescent="0.15">
      <c r="G1526" s="14"/>
    </row>
    <row r="1527" spans="7:7" x14ac:dyDescent="0.15">
      <c r="G1527" s="14"/>
    </row>
    <row r="1528" spans="7:7" x14ac:dyDescent="0.15">
      <c r="G1528" s="14"/>
    </row>
    <row r="1529" spans="7:7" x14ac:dyDescent="0.15">
      <c r="G1529" s="14"/>
    </row>
    <row r="1530" spans="7:7" x14ac:dyDescent="0.15">
      <c r="G1530" s="14"/>
    </row>
    <row r="1531" spans="7:7" x14ac:dyDescent="0.15">
      <c r="G1531" s="14"/>
    </row>
    <row r="1532" spans="7:7" x14ac:dyDescent="0.15">
      <c r="G1532" s="14"/>
    </row>
    <row r="1533" spans="7:7" x14ac:dyDescent="0.15">
      <c r="G1533" s="14"/>
    </row>
    <row r="1534" spans="7:7" x14ac:dyDescent="0.15">
      <c r="G1534" s="14"/>
    </row>
    <row r="1535" spans="7:7" x14ac:dyDescent="0.15">
      <c r="G1535" s="14"/>
    </row>
    <row r="1536" spans="7:7" x14ac:dyDescent="0.15">
      <c r="G1536" s="14"/>
    </row>
    <row r="1537" spans="7:7" x14ac:dyDescent="0.15">
      <c r="G1537" s="14"/>
    </row>
    <row r="1538" spans="7:7" x14ac:dyDescent="0.15">
      <c r="G1538" s="14"/>
    </row>
    <row r="1539" spans="7:7" x14ac:dyDescent="0.15">
      <c r="G1539" s="14"/>
    </row>
    <row r="1540" spans="7:7" x14ac:dyDescent="0.15">
      <c r="G1540" s="14"/>
    </row>
    <row r="1541" spans="7:7" x14ac:dyDescent="0.15">
      <c r="G1541" s="14"/>
    </row>
    <row r="1542" spans="7:7" x14ac:dyDescent="0.15">
      <c r="G1542" s="14"/>
    </row>
    <row r="1543" spans="7:7" x14ac:dyDescent="0.15">
      <c r="G1543" s="14"/>
    </row>
    <row r="1544" spans="7:7" x14ac:dyDescent="0.15">
      <c r="G1544" s="14"/>
    </row>
    <row r="1545" spans="7:7" x14ac:dyDescent="0.15">
      <c r="G1545" s="14"/>
    </row>
    <row r="1546" spans="7:7" x14ac:dyDescent="0.15">
      <c r="G1546" s="14"/>
    </row>
    <row r="1547" spans="7:7" x14ac:dyDescent="0.15">
      <c r="G1547" s="14"/>
    </row>
    <row r="1548" spans="7:7" x14ac:dyDescent="0.15">
      <c r="G1548" s="14"/>
    </row>
    <row r="1549" spans="7:7" x14ac:dyDescent="0.15">
      <c r="G1549" s="14"/>
    </row>
    <row r="1550" spans="7:7" x14ac:dyDescent="0.15">
      <c r="G1550" s="14"/>
    </row>
    <row r="1551" spans="7:7" x14ac:dyDescent="0.15">
      <c r="G1551" s="14"/>
    </row>
    <row r="1552" spans="7:7" x14ac:dyDescent="0.15">
      <c r="G1552" s="14"/>
    </row>
    <row r="1553" spans="7:7" x14ac:dyDescent="0.15">
      <c r="G1553" s="14"/>
    </row>
    <row r="1554" spans="7:7" x14ac:dyDescent="0.15">
      <c r="G1554" s="14"/>
    </row>
    <row r="1555" spans="7:7" x14ac:dyDescent="0.15">
      <c r="G1555" s="14"/>
    </row>
    <row r="1556" spans="7:7" x14ac:dyDescent="0.15">
      <c r="G1556" s="14"/>
    </row>
    <row r="1557" spans="7:7" x14ac:dyDescent="0.15">
      <c r="G1557" s="14"/>
    </row>
    <row r="1558" spans="7:7" x14ac:dyDescent="0.15">
      <c r="G1558" s="14"/>
    </row>
    <row r="1559" spans="7:7" x14ac:dyDescent="0.15">
      <c r="G1559" s="14"/>
    </row>
    <row r="1560" spans="7:7" x14ac:dyDescent="0.15">
      <c r="G1560" s="14"/>
    </row>
    <row r="1561" spans="7:7" x14ac:dyDescent="0.15">
      <c r="G1561" s="14"/>
    </row>
    <row r="1562" spans="7:7" x14ac:dyDescent="0.15">
      <c r="G1562" s="14"/>
    </row>
    <row r="1563" spans="7:7" x14ac:dyDescent="0.15">
      <c r="G1563" s="14"/>
    </row>
    <row r="1564" spans="7:7" x14ac:dyDescent="0.15">
      <c r="G1564" s="14"/>
    </row>
    <row r="1565" spans="7:7" x14ac:dyDescent="0.15">
      <c r="G1565" s="14"/>
    </row>
    <row r="1566" spans="7:7" x14ac:dyDescent="0.15">
      <c r="G1566" s="14"/>
    </row>
    <row r="1567" spans="7:7" x14ac:dyDescent="0.15">
      <c r="G1567" s="14"/>
    </row>
    <row r="1568" spans="7:7" x14ac:dyDescent="0.15">
      <c r="G1568" s="14"/>
    </row>
    <row r="1569" spans="7:7" x14ac:dyDescent="0.15">
      <c r="G1569" s="14"/>
    </row>
    <row r="1570" spans="7:7" x14ac:dyDescent="0.15">
      <c r="G1570" s="14"/>
    </row>
    <row r="1571" spans="7:7" x14ac:dyDescent="0.15">
      <c r="G1571" s="14"/>
    </row>
    <row r="1572" spans="7:7" x14ac:dyDescent="0.15">
      <c r="G1572" s="14"/>
    </row>
    <row r="1573" spans="7:7" x14ac:dyDescent="0.15">
      <c r="G1573" s="14"/>
    </row>
    <row r="1574" spans="7:7" x14ac:dyDescent="0.15">
      <c r="G1574" s="14"/>
    </row>
    <row r="1575" spans="7:7" x14ac:dyDescent="0.15">
      <c r="G1575" s="14"/>
    </row>
    <row r="1576" spans="7:7" x14ac:dyDescent="0.15">
      <c r="G1576" s="14"/>
    </row>
    <row r="1577" spans="7:7" x14ac:dyDescent="0.15">
      <c r="G1577" s="14"/>
    </row>
    <row r="1578" spans="7:7" x14ac:dyDescent="0.15">
      <c r="G1578" s="14"/>
    </row>
    <row r="1579" spans="7:7" x14ac:dyDescent="0.15">
      <c r="G1579" s="14"/>
    </row>
    <row r="1580" spans="7:7" x14ac:dyDescent="0.15">
      <c r="G1580" s="14"/>
    </row>
    <row r="1581" spans="7:7" x14ac:dyDescent="0.15">
      <c r="G1581" s="14"/>
    </row>
    <row r="1582" spans="7:7" x14ac:dyDescent="0.15">
      <c r="G1582" s="14"/>
    </row>
    <row r="1583" spans="7:7" x14ac:dyDescent="0.15">
      <c r="G1583" s="14"/>
    </row>
    <row r="1584" spans="7:7" x14ac:dyDescent="0.15">
      <c r="G1584" s="14"/>
    </row>
    <row r="1585" spans="7:7" x14ac:dyDescent="0.15">
      <c r="G1585" s="14"/>
    </row>
    <row r="1586" spans="7:7" x14ac:dyDescent="0.15">
      <c r="G1586" s="14"/>
    </row>
    <row r="1587" spans="7:7" x14ac:dyDescent="0.15">
      <c r="G1587" s="14"/>
    </row>
    <row r="1588" spans="7:7" x14ac:dyDescent="0.15">
      <c r="G1588" s="14"/>
    </row>
    <row r="1589" spans="7:7" x14ac:dyDescent="0.15">
      <c r="G1589" s="14"/>
    </row>
    <row r="1590" spans="7:7" x14ac:dyDescent="0.15">
      <c r="G1590" s="14"/>
    </row>
    <row r="1591" spans="7:7" x14ac:dyDescent="0.15">
      <c r="G1591" s="14"/>
    </row>
    <row r="1592" spans="7:7" x14ac:dyDescent="0.15">
      <c r="G1592" s="14"/>
    </row>
    <row r="1593" spans="7:7" x14ac:dyDescent="0.15">
      <c r="G1593" s="14"/>
    </row>
    <row r="1594" spans="7:7" x14ac:dyDescent="0.15">
      <c r="G1594" s="14"/>
    </row>
    <row r="1595" spans="7:7" x14ac:dyDescent="0.15">
      <c r="G1595" s="14"/>
    </row>
    <row r="1596" spans="7:7" x14ac:dyDescent="0.15">
      <c r="G1596" s="14"/>
    </row>
    <row r="1597" spans="7:7" x14ac:dyDescent="0.15">
      <c r="G1597" s="14"/>
    </row>
    <row r="1598" spans="7:7" x14ac:dyDescent="0.15">
      <c r="G1598" s="14"/>
    </row>
    <row r="1599" spans="7:7" x14ac:dyDescent="0.15">
      <c r="G1599" s="14"/>
    </row>
    <row r="1600" spans="7:7" x14ac:dyDescent="0.15">
      <c r="G1600" s="14"/>
    </row>
    <row r="1601" spans="7:7" x14ac:dyDescent="0.15">
      <c r="G1601" s="14"/>
    </row>
    <row r="1602" spans="7:7" x14ac:dyDescent="0.15">
      <c r="G1602" s="14"/>
    </row>
    <row r="1603" spans="7:7" x14ac:dyDescent="0.15">
      <c r="G1603" s="14"/>
    </row>
    <row r="1604" spans="7:7" x14ac:dyDescent="0.15">
      <c r="G1604" s="14"/>
    </row>
    <row r="1605" spans="7:7" x14ac:dyDescent="0.15">
      <c r="G1605" s="14"/>
    </row>
    <row r="1606" spans="7:7" x14ac:dyDescent="0.15">
      <c r="G1606" s="14"/>
    </row>
    <row r="1607" spans="7:7" x14ac:dyDescent="0.15">
      <c r="G1607" s="14"/>
    </row>
    <row r="1608" spans="7:7" x14ac:dyDescent="0.15">
      <c r="G1608" s="14"/>
    </row>
    <row r="1609" spans="7:7" x14ac:dyDescent="0.15">
      <c r="G1609" s="14"/>
    </row>
    <row r="1610" spans="7:7" x14ac:dyDescent="0.15">
      <c r="G1610" s="14"/>
    </row>
    <row r="1611" spans="7:7" x14ac:dyDescent="0.15">
      <c r="G1611" s="14"/>
    </row>
    <row r="1612" spans="7:7" x14ac:dyDescent="0.15">
      <c r="G1612" s="14"/>
    </row>
    <row r="1613" spans="7:7" x14ac:dyDescent="0.15">
      <c r="G1613" s="14"/>
    </row>
    <row r="1614" spans="7:7" x14ac:dyDescent="0.15">
      <c r="G1614" s="14"/>
    </row>
    <row r="1615" spans="7:7" x14ac:dyDescent="0.15">
      <c r="G1615" s="14"/>
    </row>
    <row r="1616" spans="7:7" x14ac:dyDescent="0.15">
      <c r="G1616" s="14"/>
    </row>
    <row r="1617" spans="7:7" x14ac:dyDescent="0.15">
      <c r="G1617" s="14"/>
    </row>
    <row r="1618" spans="7:7" x14ac:dyDescent="0.15">
      <c r="G1618" s="14"/>
    </row>
    <row r="1619" spans="7:7" x14ac:dyDescent="0.15">
      <c r="G1619" s="14"/>
    </row>
    <row r="1620" spans="7:7" x14ac:dyDescent="0.15">
      <c r="G1620" s="14"/>
    </row>
    <row r="1621" spans="7:7" x14ac:dyDescent="0.15">
      <c r="G1621" s="14"/>
    </row>
    <row r="1622" spans="7:7" x14ac:dyDescent="0.15">
      <c r="G1622" s="14"/>
    </row>
    <row r="1623" spans="7:7" x14ac:dyDescent="0.15">
      <c r="G1623" s="14"/>
    </row>
    <row r="1624" spans="7:7" x14ac:dyDescent="0.15">
      <c r="G1624" s="14"/>
    </row>
    <row r="1625" spans="7:7" x14ac:dyDescent="0.15">
      <c r="G1625" s="14"/>
    </row>
    <row r="1626" spans="7:7" x14ac:dyDescent="0.15">
      <c r="G1626" s="14"/>
    </row>
    <row r="1627" spans="7:7" x14ac:dyDescent="0.15">
      <c r="G1627" s="14"/>
    </row>
    <row r="1628" spans="7:7" x14ac:dyDescent="0.15">
      <c r="G1628" s="14"/>
    </row>
    <row r="1629" spans="7:7" x14ac:dyDescent="0.15">
      <c r="G1629" s="14"/>
    </row>
    <row r="1630" spans="7:7" x14ac:dyDescent="0.15">
      <c r="G1630" s="14"/>
    </row>
    <row r="1631" spans="7:7" x14ac:dyDescent="0.15">
      <c r="G1631" s="14"/>
    </row>
    <row r="1632" spans="7:7" x14ac:dyDescent="0.15">
      <c r="G1632" s="14"/>
    </row>
    <row r="1633" spans="7:7" x14ac:dyDescent="0.15">
      <c r="G1633" s="14"/>
    </row>
    <row r="1634" spans="7:7" x14ac:dyDescent="0.15">
      <c r="G1634" s="14"/>
    </row>
    <row r="1635" spans="7:7" x14ac:dyDescent="0.15">
      <c r="G1635" s="14"/>
    </row>
    <row r="1636" spans="7:7" x14ac:dyDescent="0.15">
      <c r="G1636" s="14"/>
    </row>
    <row r="1637" spans="7:7" x14ac:dyDescent="0.15">
      <c r="G1637" s="14"/>
    </row>
    <row r="1638" spans="7:7" x14ac:dyDescent="0.15">
      <c r="G1638" s="14"/>
    </row>
    <row r="1639" spans="7:7" x14ac:dyDescent="0.15">
      <c r="G1639" s="14"/>
    </row>
    <row r="1640" spans="7:7" x14ac:dyDescent="0.15">
      <c r="G1640" s="14"/>
    </row>
    <row r="1641" spans="7:7" x14ac:dyDescent="0.15">
      <c r="G1641" s="14"/>
    </row>
    <row r="1642" spans="7:7" x14ac:dyDescent="0.15">
      <c r="G1642" s="14"/>
    </row>
    <row r="1643" spans="7:7" x14ac:dyDescent="0.15">
      <c r="G1643" s="14"/>
    </row>
    <row r="1644" spans="7:7" x14ac:dyDescent="0.15">
      <c r="G1644" s="14"/>
    </row>
    <row r="1645" spans="7:7" x14ac:dyDescent="0.15">
      <c r="G1645" s="14"/>
    </row>
    <row r="1646" spans="7:7" x14ac:dyDescent="0.15">
      <c r="G1646" s="14"/>
    </row>
    <row r="1647" spans="7:7" x14ac:dyDescent="0.15">
      <c r="G1647" s="14"/>
    </row>
    <row r="1648" spans="7:7" x14ac:dyDescent="0.15">
      <c r="G1648" s="14"/>
    </row>
    <row r="1649" spans="7:7" x14ac:dyDescent="0.15">
      <c r="G1649" s="14"/>
    </row>
    <row r="1650" spans="7:7" x14ac:dyDescent="0.15">
      <c r="G1650" s="14"/>
    </row>
    <row r="1651" spans="7:7" x14ac:dyDescent="0.15">
      <c r="G1651" s="14"/>
    </row>
    <row r="1652" spans="7:7" x14ac:dyDescent="0.15">
      <c r="G1652" s="14"/>
    </row>
    <row r="1653" spans="7:7" x14ac:dyDescent="0.15">
      <c r="G1653" s="14"/>
    </row>
    <row r="1654" spans="7:7" x14ac:dyDescent="0.15">
      <c r="G1654" s="14"/>
    </row>
    <row r="1655" spans="7:7" x14ac:dyDescent="0.15">
      <c r="G1655" s="14"/>
    </row>
    <row r="1656" spans="7:7" x14ac:dyDescent="0.15">
      <c r="G1656" s="14"/>
    </row>
    <row r="1657" spans="7:7" x14ac:dyDescent="0.15">
      <c r="G1657" s="14"/>
    </row>
    <row r="1658" spans="7:7" x14ac:dyDescent="0.15">
      <c r="G1658" s="14"/>
    </row>
    <row r="1659" spans="7:7" x14ac:dyDescent="0.15">
      <c r="G1659" s="14"/>
    </row>
    <row r="1660" spans="7:7" x14ac:dyDescent="0.15">
      <c r="G1660" s="14"/>
    </row>
    <row r="1661" spans="7:7" x14ac:dyDescent="0.15">
      <c r="G1661" s="14"/>
    </row>
    <row r="1662" spans="7:7" x14ac:dyDescent="0.15">
      <c r="G1662" s="14"/>
    </row>
    <row r="1663" spans="7:7" x14ac:dyDescent="0.15">
      <c r="G1663" s="14"/>
    </row>
    <row r="1664" spans="7:7" x14ac:dyDescent="0.15">
      <c r="G1664" s="14"/>
    </row>
    <row r="1665" spans="7:7" x14ac:dyDescent="0.15">
      <c r="G1665" s="14"/>
    </row>
    <row r="1666" spans="7:7" x14ac:dyDescent="0.15">
      <c r="G1666" s="14"/>
    </row>
    <row r="1667" spans="7:7" x14ac:dyDescent="0.15">
      <c r="G1667" s="14"/>
    </row>
    <row r="1668" spans="7:7" x14ac:dyDescent="0.15">
      <c r="G1668" s="14"/>
    </row>
    <row r="1669" spans="7:7" x14ac:dyDescent="0.15">
      <c r="G1669" s="14"/>
    </row>
    <row r="1670" spans="7:7" x14ac:dyDescent="0.15">
      <c r="G1670" s="14"/>
    </row>
    <row r="1671" spans="7:7" x14ac:dyDescent="0.15">
      <c r="G1671" s="14"/>
    </row>
    <row r="1672" spans="7:7" x14ac:dyDescent="0.15">
      <c r="G1672" s="14"/>
    </row>
    <row r="1673" spans="7:7" x14ac:dyDescent="0.15">
      <c r="G1673" s="14"/>
    </row>
    <row r="1674" spans="7:7" x14ac:dyDescent="0.15">
      <c r="G1674" s="14"/>
    </row>
    <row r="1675" spans="7:7" x14ac:dyDescent="0.15">
      <c r="G1675" s="14"/>
    </row>
    <row r="1676" spans="7:7" x14ac:dyDescent="0.15">
      <c r="G1676" s="14"/>
    </row>
    <row r="1677" spans="7:7" x14ac:dyDescent="0.15">
      <c r="G1677" s="14"/>
    </row>
    <row r="1678" spans="7:7" x14ac:dyDescent="0.15">
      <c r="G1678" s="14"/>
    </row>
    <row r="1679" spans="7:7" x14ac:dyDescent="0.15">
      <c r="G1679" s="14"/>
    </row>
    <row r="1680" spans="7:7" x14ac:dyDescent="0.15">
      <c r="G1680" s="14"/>
    </row>
    <row r="1681" spans="7:7" x14ac:dyDescent="0.15">
      <c r="G1681" s="14"/>
    </row>
    <row r="1682" spans="7:7" x14ac:dyDescent="0.15">
      <c r="G1682" s="14"/>
    </row>
    <row r="1683" spans="7:7" x14ac:dyDescent="0.15">
      <c r="G1683" s="14"/>
    </row>
    <row r="1684" spans="7:7" x14ac:dyDescent="0.15">
      <c r="G1684" s="14"/>
    </row>
    <row r="1685" spans="7:7" x14ac:dyDescent="0.15">
      <c r="G1685" s="14"/>
    </row>
    <row r="1686" spans="7:7" x14ac:dyDescent="0.15">
      <c r="G1686" s="14"/>
    </row>
    <row r="1687" spans="7:7" x14ac:dyDescent="0.15">
      <c r="G1687" s="14"/>
    </row>
    <row r="1688" spans="7:7" x14ac:dyDescent="0.15">
      <c r="G1688" s="14"/>
    </row>
    <row r="1689" spans="7:7" x14ac:dyDescent="0.15">
      <c r="G1689" s="14"/>
    </row>
    <row r="1690" spans="7:7" x14ac:dyDescent="0.15">
      <c r="G1690" s="14"/>
    </row>
    <row r="1691" spans="7:7" x14ac:dyDescent="0.15">
      <c r="G1691" s="14"/>
    </row>
    <row r="1692" spans="7:7" x14ac:dyDescent="0.15">
      <c r="G1692" s="14"/>
    </row>
    <row r="1693" spans="7:7" x14ac:dyDescent="0.15">
      <c r="G1693" s="14"/>
    </row>
    <row r="1694" spans="7:7" x14ac:dyDescent="0.15">
      <c r="G1694" s="14"/>
    </row>
    <row r="1695" spans="7:7" x14ac:dyDescent="0.15">
      <c r="G1695" s="14"/>
    </row>
    <row r="1696" spans="7:7" x14ac:dyDescent="0.15">
      <c r="G1696" s="14"/>
    </row>
    <row r="1697" spans="7:7" x14ac:dyDescent="0.15">
      <c r="G1697" s="14"/>
    </row>
    <row r="1698" spans="7:7" x14ac:dyDescent="0.15">
      <c r="G1698" s="14"/>
    </row>
    <row r="1699" spans="7:7" x14ac:dyDescent="0.15">
      <c r="G1699" s="14"/>
    </row>
    <row r="1700" spans="7:7" x14ac:dyDescent="0.15">
      <c r="G1700" s="14"/>
    </row>
    <row r="1701" spans="7:7" x14ac:dyDescent="0.15">
      <c r="G1701" s="14"/>
    </row>
    <row r="1702" spans="7:7" x14ac:dyDescent="0.15">
      <c r="G1702" s="14"/>
    </row>
    <row r="1703" spans="7:7" x14ac:dyDescent="0.15">
      <c r="G1703" s="14"/>
    </row>
    <row r="1704" spans="7:7" x14ac:dyDescent="0.15">
      <c r="G1704" s="14"/>
    </row>
    <row r="1705" spans="7:7" x14ac:dyDescent="0.15">
      <c r="G1705" s="14"/>
    </row>
    <row r="1706" spans="7:7" x14ac:dyDescent="0.15">
      <c r="G1706" s="14"/>
    </row>
    <row r="1707" spans="7:7" x14ac:dyDescent="0.15">
      <c r="G1707" s="14"/>
    </row>
    <row r="1708" spans="7:7" x14ac:dyDescent="0.15">
      <c r="G1708" s="14"/>
    </row>
    <row r="1709" spans="7:7" x14ac:dyDescent="0.15">
      <c r="G1709" s="14"/>
    </row>
    <row r="1710" spans="7:7" x14ac:dyDescent="0.15">
      <c r="G1710" s="14"/>
    </row>
    <row r="1711" spans="7:7" x14ac:dyDescent="0.15">
      <c r="G1711" s="14"/>
    </row>
    <row r="1712" spans="7:7" x14ac:dyDescent="0.15">
      <c r="G1712" s="14"/>
    </row>
    <row r="1713" spans="7:7" x14ac:dyDescent="0.15">
      <c r="G1713" s="14"/>
    </row>
    <row r="1714" spans="7:7" x14ac:dyDescent="0.15">
      <c r="G1714" s="14"/>
    </row>
    <row r="1715" spans="7:7" x14ac:dyDescent="0.15">
      <c r="G1715" s="14"/>
    </row>
    <row r="1716" spans="7:7" x14ac:dyDescent="0.15">
      <c r="G1716" s="14"/>
    </row>
    <row r="1717" spans="7:7" x14ac:dyDescent="0.15">
      <c r="G1717" s="14"/>
    </row>
    <row r="1718" spans="7:7" x14ac:dyDescent="0.15">
      <c r="G1718" s="14"/>
    </row>
    <row r="1719" spans="7:7" x14ac:dyDescent="0.15">
      <c r="G1719" s="14"/>
    </row>
    <row r="1720" spans="7:7" x14ac:dyDescent="0.15">
      <c r="G1720" s="14"/>
    </row>
    <row r="1721" spans="7:7" x14ac:dyDescent="0.15">
      <c r="G1721" s="14"/>
    </row>
    <row r="1722" spans="7:7" x14ac:dyDescent="0.15">
      <c r="G1722" s="14"/>
    </row>
    <row r="1723" spans="7:7" x14ac:dyDescent="0.15">
      <c r="G1723" s="14"/>
    </row>
    <row r="1724" spans="7:7" x14ac:dyDescent="0.15">
      <c r="G1724" s="14"/>
    </row>
    <row r="1725" spans="7:7" x14ac:dyDescent="0.15">
      <c r="G1725" s="14"/>
    </row>
    <row r="1726" spans="7:7" x14ac:dyDescent="0.15">
      <c r="G1726" s="14"/>
    </row>
    <row r="1727" spans="7:7" x14ac:dyDescent="0.15">
      <c r="G1727" s="14"/>
    </row>
    <row r="1728" spans="7:7" x14ac:dyDescent="0.15">
      <c r="G1728" s="14"/>
    </row>
    <row r="1729" spans="7:7" x14ac:dyDescent="0.15">
      <c r="G1729" s="14"/>
    </row>
    <row r="1730" spans="7:7" x14ac:dyDescent="0.15">
      <c r="G1730" s="14"/>
    </row>
    <row r="1731" spans="7:7" x14ac:dyDescent="0.15">
      <c r="G1731" s="14"/>
    </row>
    <row r="1732" spans="7:7" x14ac:dyDescent="0.15">
      <c r="G1732" s="14"/>
    </row>
    <row r="1733" spans="7:7" x14ac:dyDescent="0.15">
      <c r="G1733" s="14"/>
    </row>
    <row r="1734" spans="7:7" x14ac:dyDescent="0.15">
      <c r="G1734" s="14"/>
    </row>
    <row r="1735" spans="7:7" x14ac:dyDescent="0.15">
      <c r="G1735" s="14"/>
    </row>
    <row r="1736" spans="7:7" x14ac:dyDescent="0.15">
      <c r="G1736" s="14"/>
    </row>
    <row r="1737" spans="7:7" x14ac:dyDescent="0.15">
      <c r="G1737" s="14"/>
    </row>
    <row r="1738" spans="7:7" x14ac:dyDescent="0.15">
      <c r="G1738" s="14"/>
    </row>
    <row r="1739" spans="7:7" x14ac:dyDescent="0.15">
      <c r="G1739" s="14"/>
    </row>
    <row r="1740" spans="7:7" x14ac:dyDescent="0.15">
      <c r="G1740" s="14"/>
    </row>
    <row r="1741" spans="7:7" x14ac:dyDescent="0.15">
      <c r="G1741" s="14"/>
    </row>
    <row r="1742" spans="7:7" x14ac:dyDescent="0.15">
      <c r="G1742" s="14"/>
    </row>
    <row r="1743" spans="7:7" x14ac:dyDescent="0.15">
      <c r="G1743" s="14"/>
    </row>
    <row r="1744" spans="7:7" x14ac:dyDescent="0.15">
      <c r="G1744" s="14"/>
    </row>
    <row r="1745" spans="7:7" x14ac:dyDescent="0.15">
      <c r="G1745" s="14"/>
    </row>
    <row r="1746" spans="7:7" x14ac:dyDescent="0.15">
      <c r="G1746" s="14"/>
    </row>
    <row r="1747" spans="7:7" x14ac:dyDescent="0.15">
      <c r="G1747" s="14"/>
    </row>
    <row r="1748" spans="7:7" x14ac:dyDescent="0.15">
      <c r="G1748" s="14"/>
    </row>
    <row r="1749" spans="7:7" x14ac:dyDescent="0.15">
      <c r="G1749" s="14"/>
    </row>
    <row r="1750" spans="7:7" x14ac:dyDescent="0.15">
      <c r="G1750" s="14"/>
    </row>
    <row r="1751" spans="7:7" x14ac:dyDescent="0.15">
      <c r="G1751" s="14"/>
    </row>
    <row r="1752" spans="7:7" x14ac:dyDescent="0.15">
      <c r="G1752" s="14"/>
    </row>
    <row r="1753" spans="7:7" x14ac:dyDescent="0.15">
      <c r="G1753" s="14"/>
    </row>
    <row r="1754" spans="7:7" x14ac:dyDescent="0.15">
      <c r="G1754" s="14"/>
    </row>
    <row r="1755" spans="7:7" x14ac:dyDescent="0.15">
      <c r="G1755" s="14"/>
    </row>
    <row r="1756" spans="7:7" x14ac:dyDescent="0.15">
      <c r="G1756" s="14"/>
    </row>
    <row r="1757" spans="7:7" x14ac:dyDescent="0.15">
      <c r="G1757" s="14"/>
    </row>
    <row r="1758" spans="7:7" x14ac:dyDescent="0.15">
      <c r="G1758" s="14"/>
    </row>
    <row r="1759" spans="7:7" x14ac:dyDescent="0.15">
      <c r="G1759" s="14"/>
    </row>
    <row r="1760" spans="7:7" x14ac:dyDescent="0.15">
      <c r="G1760" s="14"/>
    </row>
    <row r="1761" spans="7:7" x14ac:dyDescent="0.15">
      <c r="G1761" s="14"/>
    </row>
    <row r="1762" spans="7:7" x14ac:dyDescent="0.15">
      <c r="G1762" s="14"/>
    </row>
    <row r="1763" spans="7:7" x14ac:dyDescent="0.15">
      <c r="G1763" s="14"/>
    </row>
    <row r="1764" spans="7:7" x14ac:dyDescent="0.15">
      <c r="G1764" s="14"/>
    </row>
    <row r="1765" spans="7:7" x14ac:dyDescent="0.15">
      <c r="G1765" s="14"/>
    </row>
    <row r="1766" spans="7:7" x14ac:dyDescent="0.15">
      <c r="G1766" s="14"/>
    </row>
    <row r="1767" spans="7:7" x14ac:dyDescent="0.15">
      <c r="G1767" s="14"/>
    </row>
    <row r="1768" spans="7:7" x14ac:dyDescent="0.15">
      <c r="G1768" s="14"/>
    </row>
    <row r="1769" spans="7:7" x14ac:dyDescent="0.15">
      <c r="G1769" s="14"/>
    </row>
    <row r="1770" spans="7:7" x14ac:dyDescent="0.15">
      <c r="G1770" s="14"/>
    </row>
    <row r="1771" spans="7:7" x14ac:dyDescent="0.15">
      <c r="G1771" s="14"/>
    </row>
    <row r="1772" spans="7:7" x14ac:dyDescent="0.15">
      <c r="G1772" s="14"/>
    </row>
    <row r="1773" spans="7:7" x14ac:dyDescent="0.15">
      <c r="G1773" s="14"/>
    </row>
    <row r="1774" spans="7:7" x14ac:dyDescent="0.15">
      <c r="G1774" s="14"/>
    </row>
    <row r="1775" spans="7:7" x14ac:dyDescent="0.15">
      <c r="G1775" s="14"/>
    </row>
    <row r="1776" spans="7:7" x14ac:dyDescent="0.15">
      <c r="G1776" s="14"/>
    </row>
    <row r="1777" spans="7:7" x14ac:dyDescent="0.15">
      <c r="G1777" s="14"/>
    </row>
    <row r="1778" spans="7:7" x14ac:dyDescent="0.15">
      <c r="G1778" s="14"/>
    </row>
    <row r="1779" spans="7:7" x14ac:dyDescent="0.15">
      <c r="G1779" s="14"/>
    </row>
    <row r="1780" spans="7:7" x14ac:dyDescent="0.15">
      <c r="G1780" s="14"/>
    </row>
    <row r="1781" spans="7:7" x14ac:dyDescent="0.15">
      <c r="G1781" s="14"/>
    </row>
    <row r="1782" spans="7:7" x14ac:dyDescent="0.15">
      <c r="G1782" s="14"/>
    </row>
    <row r="1783" spans="7:7" x14ac:dyDescent="0.15">
      <c r="G1783" s="14"/>
    </row>
    <row r="1784" spans="7:7" x14ac:dyDescent="0.15">
      <c r="G1784" s="14"/>
    </row>
    <row r="1785" spans="7:7" x14ac:dyDescent="0.15">
      <c r="G1785" s="14"/>
    </row>
    <row r="1786" spans="7:7" x14ac:dyDescent="0.15">
      <c r="G1786" s="14"/>
    </row>
    <row r="1787" spans="7:7" x14ac:dyDescent="0.15">
      <c r="G1787" s="14"/>
    </row>
    <row r="1788" spans="7:7" x14ac:dyDescent="0.15">
      <c r="G1788" s="14"/>
    </row>
    <row r="1789" spans="7:7" x14ac:dyDescent="0.15">
      <c r="G1789" s="14"/>
    </row>
    <row r="1790" spans="7:7" x14ac:dyDescent="0.15">
      <c r="G1790" s="14"/>
    </row>
    <row r="1791" spans="7:7" x14ac:dyDescent="0.15">
      <c r="G1791" s="14"/>
    </row>
    <row r="1792" spans="7:7" x14ac:dyDescent="0.15">
      <c r="G1792" s="14"/>
    </row>
    <row r="1793" spans="7:7" x14ac:dyDescent="0.15">
      <c r="G1793" s="14"/>
    </row>
    <row r="1794" spans="7:7" x14ac:dyDescent="0.15">
      <c r="G1794" s="14"/>
    </row>
    <row r="1795" spans="7:7" x14ac:dyDescent="0.15">
      <c r="G1795" s="14"/>
    </row>
    <row r="1796" spans="7:7" x14ac:dyDescent="0.15">
      <c r="G1796" s="14"/>
    </row>
    <row r="1797" spans="7:7" x14ac:dyDescent="0.15">
      <c r="G1797" s="14"/>
    </row>
    <row r="1798" spans="7:7" x14ac:dyDescent="0.15">
      <c r="G1798" s="14"/>
    </row>
    <row r="1799" spans="7:7" x14ac:dyDescent="0.15">
      <c r="G1799" s="14"/>
    </row>
    <row r="1800" spans="7:7" x14ac:dyDescent="0.15">
      <c r="G1800" s="14"/>
    </row>
    <row r="1801" spans="7:7" x14ac:dyDescent="0.15">
      <c r="G1801" s="14"/>
    </row>
    <row r="1802" spans="7:7" x14ac:dyDescent="0.15">
      <c r="G1802" s="14"/>
    </row>
    <row r="1803" spans="7:7" x14ac:dyDescent="0.15">
      <c r="G1803" s="14"/>
    </row>
    <row r="1804" spans="7:7" x14ac:dyDescent="0.15">
      <c r="G1804" s="14"/>
    </row>
    <row r="1805" spans="7:7" x14ac:dyDescent="0.15">
      <c r="G1805" s="14"/>
    </row>
    <row r="1806" spans="7:7" x14ac:dyDescent="0.15">
      <c r="G1806" s="14"/>
    </row>
    <row r="1807" spans="7:7" x14ac:dyDescent="0.15">
      <c r="G1807" s="14"/>
    </row>
    <row r="1808" spans="7:7" x14ac:dyDescent="0.15">
      <c r="G1808" s="14"/>
    </row>
    <row r="1809" spans="7:7" x14ac:dyDescent="0.15">
      <c r="G1809" s="14"/>
    </row>
    <row r="1810" spans="7:7" x14ac:dyDescent="0.15">
      <c r="G1810" s="14"/>
    </row>
    <row r="1811" spans="7:7" x14ac:dyDescent="0.15">
      <c r="G1811" s="14"/>
    </row>
    <row r="1812" spans="7:7" x14ac:dyDescent="0.15">
      <c r="G1812" s="14"/>
    </row>
    <row r="1813" spans="7:7" x14ac:dyDescent="0.15">
      <c r="G1813" s="14"/>
    </row>
    <row r="1814" spans="7:7" x14ac:dyDescent="0.15">
      <c r="G1814" s="14"/>
    </row>
    <row r="1815" spans="7:7" x14ac:dyDescent="0.15">
      <c r="G1815" s="14"/>
    </row>
    <row r="1816" spans="7:7" x14ac:dyDescent="0.15">
      <c r="G1816" s="14"/>
    </row>
    <row r="1817" spans="7:7" x14ac:dyDescent="0.15">
      <c r="G1817" s="14"/>
    </row>
    <row r="1818" spans="7:7" x14ac:dyDescent="0.15">
      <c r="G1818" s="14"/>
    </row>
    <row r="1819" spans="7:7" x14ac:dyDescent="0.15">
      <c r="G1819" s="14"/>
    </row>
    <row r="1820" spans="7:7" x14ac:dyDescent="0.15">
      <c r="G1820" s="14"/>
    </row>
    <row r="1821" spans="7:7" x14ac:dyDescent="0.15">
      <c r="G1821" s="14"/>
    </row>
    <row r="1822" spans="7:7" x14ac:dyDescent="0.15">
      <c r="G1822" s="14"/>
    </row>
    <row r="1823" spans="7:7" x14ac:dyDescent="0.15">
      <c r="G1823" s="14"/>
    </row>
    <row r="1824" spans="7:7" x14ac:dyDescent="0.15">
      <c r="G1824" s="14"/>
    </row>
    <row r="1825" spans="7:7" x14ac:dyDescent="0.15">
      <c r="G1825" s="14"/>
    </row>
    <row r="1826" spans="7:7" x14ac:dyDescent="0.15">
      <c r="G1826" s="14"/>
    </row>
    <row r="1827" spans="7:7" x14ac:dyDescent="0.15">
      <c r="G1827" s="14"/>
    </row>
    <row r="1828" spans="7:7" x14ac:dyDescent="0.15">
      <c r="G1828" s="14"/>
    </row>
    <row r="1829" spans="7:7" x14ac:dyDescent="0.15">
      <c r="G1829" s="14"/>
    </row>
    <row r="1830" spans="7:7" x14ac:dyDescent="0.15">
      <c r="G1830" s="14"/>
    </row>
    <row r="1831" spans="7:7" x14ac:dyDescent="0.15">
      <c r="G1831" s="14"/>
    </row>
    <row r="1832" spans="7:7" x14ac:dyDescent="0.15">
      <c r="G1832" s="14"/>
    </row>
    <row r="1833" spans="7:7" x14ac:dyDescent="0.15">
      <c r="G1833" s="14"/>
    </row>
    <row r="1834" spans="7:7" x14ac:dyDescent="0.15">
      <c r="G1834" s="14"/>
    </row>
    <row r="1835" spans="7:7" x14ac:dyDescent="0.15">
      <c r="G1835" s="14"/>
    </row>
    <row r="1836" spans="7:7" x14ac:dyDescent="0.15">
      <c r="G1836" s="14"/>
    </row>
    <row r="1837" spans="7:7" x14ac:dyDescent="0.15">
      <c r="G1837" s="14"/>
    </row>
    <row r="1838" spans="7:7" x14ac:dyDescent="0.15">
      <c r="G1838" s="14"/>
    </row>
    <row r="1839" spans="7:7" x14ac:dyDescent="0.15">
      <c r="G1839" s="14"/>
    </row>
    <row r="1840" spans="7:7" x14ac:dyDescent="0.15">
      <c r="G1840" s="14"/>
    </row>
    <row r="1841" spans="7:7" x14ac:dyDescent="0.15">
      <c r="G1841" s="14"/>
    </row>
    <row r="1842" spans="7:7" x14ac:dyDescent="0.15">
      <c r="G1842" s="14"/>
    </row>
    <row r="1843" spans="7:7" x14ac:dyDescent="0.15">
      <c r="G1843" s="14"/>
    </row>
    <row r="1844" spans="7:7" x14ac:dyDescent="0.15">
      <c r="G1844" s="14"/>
    </row>
    <row r="1845" spans="7:7" x14ac:dyDescent="0.15">
      <c r="G1845" s="14"/>
    </row>
    <row r="1846" spans="7:7" x14ac:dyDescent="0.15">
      <c r="G1846" s="14"/>
    </row>
    <row r="1847" spans="7:7" x14ac:dyDescent="0.15">
      <c r="G1847" s="14"/>
    </row>
    <row r="1848" spans="7:7" x14ac:dyDescent="0.15">
      <c r="G1848" s="14"/>
    </row>
    <row r="1849" spans="7:7" x14ac:dyDescent="0.15">
      <c r="G1849" s="14"/>
    </row>
    <row r="1850" spans="7:7" x14ac:dyDescent="0.15">
      <c r="G1850" s="14"/>
    </row>
    <row r="1851" spans="7:7" x14ac:dyDescent="0.15">
      <c r="G1851" s="14"/>
    </row>
    <row r="1852" spans="7:7" x14ac:dyDescent="0.15">
      <c r="G1852" s="14"/>
    </row>
    <row r="1853" spans="7:7" x14ac:dyDescent="0.15">
      <c r="G1853" s="14"/>
    </row>
    <row r="1854" spans="7:7" x14ac:dyDescent="0.15">
      <c r="G1854" s="14"/>
    </row>
    <row r="1855" spans="7:7" x14ac:dyDescent="0.15">
      <c r="G1855" s="14"/>
    </row>
    <row r="1856" spans="7:7" x14ac:dyDescent="0.15">
      <c r="G1856" s="14"/>
    </row>
    <row r="1857" spans="7:7" x14ac:dyDescent="0.15">
      <c r="G1857" s="14"/>
    </row>
    <row r="1858" spans="7:7" x14ac:dyDescent="0.15">
      <c r="G1858" s="14"/>
    </row>
    <row r="1859" spans="7:7" x14ac:dyDescent="0.15">
      <c r="G1859" s="14"/>
    </row>
    <row r="1860" spans="7:7" x14ac:dyDescent="0.15">
      <c r="G1860" s="14"/>
    </row>
    <row r="1861" spans="7:7" x14ac:dyDescent="0.15">
      <c r="G1861" s="14"/>
    </row>
    <row r="1862" spans="7:7" x14ac:dyDescent="0.15">
      <c r="G1862" s="14"/>
    </row>
    <row r="1863" spans="7:7" x14ac:dyDescent="0.15">
      <c r="G1863" s="14"/>
    </row>
    <row r="1864" spans="7:7" x14ac:dyDescent="0.15">
      <c r="G1864" s="14"/>
    </row>
    <row r="1865" spans="7:7" x14ac:dyDescent="0.15">
      <c r="G1865" s="14"/>
    </row>
    <row r="1866" spans="7:7" x14ac:dyDescent="0.15">
      <c r="G1866" s="14"/>
    </row>
    <row r="1867" spans="7:7" x14ac:dyDescent="0.15">
      <c r="G1867" s="14"/>
    </row>
    <row r="1868" spans="7:7" x14ac:dyDescent="0.15">
      <c r="G1868" s="14"/>
    </row>
    <row r="1869" spans="7:7" x14ac:dyDescent="0.15">
      <c r="G1869" s="14"/>
    </row>
    <row r="1870" spans="7:7" x14ac:dyDescent="0.15">
      <c r="G1870" s="14"/>
    </row>
    <row r="1871" spans="7:7" x14ac:dyDescent="0.15">
      <c r="G1871" s="14"/>
    </row>
    <row r="1872" spans="7:7" x14ac:dyDescent="0.15">
      <c r="G1872" s="14"/>
    </row>
    <row r="1873" spans="7:7" x14ac:dyDescent="0.15">
      <c r="G1873" s="14"/>
    </row>
    <row r="1874" spans="7:7" x14ac:dyDescent="0.15">
      <c r="G1874" s="14"/>
    </row>
    <row r="1875" spans="7:7" x14ac:dyDescent="0.15">
      <c r="G1875" s="14"/>
    </row>
    <row r="1876" spans="7:7" x14ac:dyDescent="0.15">
      <c r="G1876" s="14"/>
    </row>
    <row r="1877" spans="7:7" x14ac:dyDescent="0.15">
      <c r="G1877" s="14"/>
    </row>
    <row r="1878" spans="7:7" x14ac:dyDescent="0.15">
      <c r="G1878" s="14"/>
    </row>
    <row r="1879" spans="7:7" x14ac:dyDescent="0.15">
      <c r="G1879" s="14"/>
    </row>
    <row r="1880" spans="7:7" x14ac:dyDescent="0.15">
      <c r="G1880" s="14"/>
    </row>
    <row r="1881" spans="7:7" x14ac:dyDescent="0.15">
      <c r="G1881" s="14"/>
    </row>
    <row r="1882" spans="7:7" x14ac:dyDescent="0.15">
      <c r="G1882" s="14"/>
    </row>
    <row r="1883" spans="7:7" x14ac:dyDescent="0.15">
      <c r="G1883" s="14"/>
    </row>
    <row r="1884" spans="7:7" x14ac:dyDescent="0.15">
      <c r="G1884" s="14"/>
    </row>
    <row r="1885" spans="7:7" x14ac:dyDescent="0.15">
      <c r="G1885" s="14"/>
    </row>
    <row r="1886" spans="7:7" x14ac:dyDescent="0.15">
      <c r="G1886" s="14"/>
    </row>
    <row r="1887" spans="7:7" x14ac:dyDescent="0.15">
      <c r="G1887" s="14"/>
    </row>
    <row r="1888" spans="7:7" x14ac:dyDescent="0.15">
      <c r="G1888" s="14"/>
    </row>
    <row r="1889" spans="7:7" x14ac:dyDescent="0.15">
      <c r="G1889" s="14"/>
    </row>
    <row r="1890" spans="7:7" x14ac:dyDescent="0.15">
      <c r="G1890" s="14"/>
    </row>
    <row r="1891" spans="7:7" x14ac:dyDescent="0.15">
      <c r="G1891" s="14"/>
    </row>
    <row r="1892" spans="7:7" x14ac:dyDescent="0.15">
      <c r="G1892" s="14"/>
    </row>
    <row r="1893" spans="7:7" x14ac:dyDescent="0.15">
      <c r="G1893" s="14"/>
    </row>
    <row r="1894" spans="7:7" x14ac:dyDescent="0.15">
      <c r="G1894" s="14"/>
    </row>
    <row r="1895" spans="7:7" x14ac:dyDescent="0.15">
      <c r="G1895" s="14"/>
    </row>
    <row r="1896" spans="7:7" x14ac:dyDescent="0.15">
      <c r="G1896" s="14"/>
    </row>
    <row r="1897" spans="7:7" x14ac:dyDescent="0.15">
      <c r="G1897" s="14"/>
    </row>
    <row r="1898" spans="7:7" x14ac:dyDescent="0.15">
      <c r="G1898" s="14"/>
    </row>
    <row r="1899" spans="7:7" x14ac:dyDescent="0.15">
      <c r="G1899" s="14"/>
    </row>
    <row r="1900" spans="7:7" x14ac:dyDescent="0.15">
      <c r="G1900" s="14"/>
    </row>
    <row r="1901" spans="7:7" x14ac:dyDescent="0.15">
      <c r="G1901" s="14"/>
    </row>
    <row r="1902" spans="7:7" x14ac:dyDescent="0.15">
      <c r="G1902" s="14"/>
    </row>
    <row r="1903" spans="7:7" x14ac:dyDescent="0.15">
      <c r="G1903" s="14"/>
    </row>
    <row r="1904" spans="7:7" x14ac:dyDescent="0.15">
      <c r="G1904" s="14"/>
    </row>
    <row r="1905" spans="7:7" x14ac:dyDescent="0.15">
      <c r="G1905" s="14"/>
    </row>
    <row r="1906" spans="7:7" x14ac:dyDescent="0.15">
      <c r="G1906" s="14"/>
    </row>
    <row r="1907" spans="7:7" x14ac:dyDescent="0.15">
      <c r="G1907" s="14"/>
    </row>
    <row r="1908" spans="7:7" x14ac:dyDescent="0.15">
      <c r="G1908" s="14"/>
    </row>
    <row r="1909" spans="7:7" x14ac:dyDescent="0.15">
      <c r="G1909" s="14"/>
    </row>
    <row r="1910" spans="7:7" x14ac:dyDescent="0.15">
      <c r="G1910" s="14"/>
    </row>
    <row r="1911" spans="7:7" x14ac:dyDescent="0.15">
      <c r="G1911" s="14"/>
    </row>
    <row r="1912" spans="7:7" x14ac:dyDescent="0.15">
      <c r="G1912" s="14"/>
    </row>
    <row r="1913" spans="7:7" x14ac:dyDescent="0.15">
      <c r="G1913" s="14"/>
    </row>
    <row r="1914" spans="7:7" x14ac:dyDescent="0.15">
      <c r="G1914" s="14"/>
    </row>
    <row r="1915" spans="7:7" x14ac:dyDescent="0.15">
      <c r="G1915" s="14"/>
    </row>
  </sheetData>
  <phoneticPr fontId="3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47708</xdr:colOff>
                    <xdr:row>6</xdr:row>
                    <xdr:rowOff>135172</xdr:rowOff>
                  </from>
                  <to>
                    <xdr:col>3</xdr:col>
                    <xdr:colOff>477078</xdr:colOff>
                    <xdr:row>8</xdr:row>
                    <xdr:rowOff>87464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7"/>
  <sheetViews>
    <sheetView workbookViewId="0">
      <selection activeCell="D28" sqref="D28"/>
    </sheetView>
  </sheetViews>
  <sheetFormatPr defaultColWidth="9.28515625" defaultRowHeight="13.8" x14ac:dyDescent="0.15"/>
  <cols>
    <col min="1" max="2" width="9.42578125" style="21" bestFit="1" customWidth="1"/>
    <col min="3" max="4" width="9.28515625" style="21"/>
    <col min="5" max="5" width="10" style="21" bestFit="1" customWidth="1"/>
    <col min="6" max="6" width="11.42578125" style="21" bestFit="1" customWidth="1"/>
    <col min="7" max="8" width="13" style="21" bestFit="1" customWidth="1"/>
    <col min="9" max="9" width="14.42578125" style="21" bestFit="1" customWidth="1"/>
    <col min="10" max="11" width="16" style="21" bestFit="1" customWidth="1"/>
    <col min="12" max="13" width="17.42578125" style="21" bestFit="1" customWidth="1"/>
    <col min="14" max="16384" width="9.28515625" style="21"/>
  </cols>
  <sheetData>
    <row r="1" spans="1:20" x14ac:dyDescent="0.15">
      <c r="A1" s="21" t="s">
        <v>41</v>
      </c>
    </row>
    <row r="2" spans="1:20" x14ac:dyDescent="0.15">
      <c r="A2" s="21" t="s">
        <v>20</v>
      </c>
      <c r="B2" s="21">
        <v>16</v>
      </c>
    </row>
    <row r="3" spans="1:20" x14ac:dyDescent="0.15">
      <c r="A3" s="21" t="s">
        <v>39</v>
      </c>
      <c r="B3" s="21" t="s">
        <v>40</v>
      </c>
      <c r="D3" s="21" t="s">
        <v>60</v>
      </c>
      <c r="E3" s="21">
        <v>1</v>
      </c>
      <c r="F3" s="21">
        <v>2</v>
      </c>
      <c r="G3" s="21">
        <v>3</v>
      </c>
      <c r="H3" s="21">
        <v>4</v>
      </c>
      <c r="I3" s="21">
        <v>5</v>
      </c>
      <c r="J3" s="21">
        <v>6</v>
      </c>
      <c r="K3" s="21">
        <v>7</v>
      </c>
      <c r="L3" s="21">
        <v>8</v>
      </c>
      <c r="M3" s="21">
        <v>9</v>
      </c>
      <c r="N3" s="21">
        <v>10</v>
      </c>
      <c r="O3" s="21">
        <v>11</v>
      </c>
      <c r="P3" s="21">
        <v>12</v>
      </c>
      <c r="Q3" s="21">
        <v>13</v>
      </c>
      <c r="R3" s="21">
        <v>14</v>
      </c>
      <c r="S3" s="21">
        <v>15</v>
      </c>
    </row>
    <row r="4" spans="1:20" x14ac:dyDescent="0.15">
      <c r="A4" s="22">
        <v>0</v>
      </c>
      <c r="B4" s="22">
        <f>1-EXP(-$B$2*A4)*(1+SUM(E4:S4))</f>
        <v>0</v>
      </c>
      <c r="C4" s="22"/>
      <c r="D4" s="22"/>
      <c r="E4" s="22">
        <f>$B$2*A4</f>
        <v>0</v>
      </c>
      <c r="F4" s="22">
        <f>($B$2*A4)^$F$3/FACT($F$3)</f>
        <v>0</v>
      </c>
      <c r="G4" s="22">
        <f>($B$2*A4)^$G$3/FACT($G$3)</f>
        <v>0</v>
      </c>
      <c r="H4" s="22">
        <f>($B$2*A4)^$H$3/FACT($H$3)</f>
        <v>0</v>
      </c>
      <c r="I4" s="22">
        <f>($B$2*A4)^$I$3/FACT($I$3)</f>
        <v>0</v>
      </c>
      <c r="J4" s="22">
        <f>($B$2*A4)^$J$3/FACT($J$3)</f>
        <v>0</v>
      </c>
      <c r="K4" s="22">
        <f>($B$2*A4)^$K$3/FACT($K$3)</f>
        <v>0</v>
      </c>
      <c r="L4" s="22">
        <f>($B$2*A4)^$L$3/FACT($L$3)</f>
        <v>0</v>
      </c>
      <c r="M4" s="22">
        <f>($B$2*A4)^$M$3/FACT($M$3)</f>
        <v>0</v>
      </c>
      <c r="N4" s="22">
        <f>($B$2*$A4)^$N$3/FACT($N$3)</f>
        <v>0</v>
      </c>
      <c r="O4" s="22">
        <f>($B$2*$A4)^$O$3/FACT($O$3)</f>
        <v>0</v>
      </c>
      <c r="P4" s="22">
        <f>($B$2*$A4)^$P$3/FACT($P$3)</f>
        <v>0</v>
      </c>
      <c r="Q4" s="22">
        <f>($B$2*$A4)^$Q$3/FACT($Q$3)</f>
        <v>0</v>
      </c>
      <c r="R4" s="22">
        <f>($B$2*$A4)^$R$3/FACT($R$3)</f>
        <v>0</v>
      </c>
      <c r="S4" s="22">
        <f>($B$2*$A4)^$S$3/FACT($S$3)</f>
        <v>0</v>
      </c>
      <c r="T4" s="22"/>
    </row>
    <row r="5" spans="1:20" x14ac:dyDescent="0.15">
      <c r="A5" s="22">
        <v>0.19354838709677419</v>
      </c>
      <c r="B5" s="22">
        <f t="shared" ref="B5:B15" si="0">1-EXP(-$B$2*A5)*(1+SUM(E5:S5))</f>
        <v>1.8845874516504324E-7</v>
      </c>
      <c r="C5" s="22"/>
      <c r="D5" s="22"/>
      <c r="E5" s="22">
        <f t="shared" ref="E5:E15" si="1">$B$2*A5</f>
        <v>3.096774193548387</v>
      </c>
      <c r="F5" s="22">
        <f t="shared" ref="F5:F15" si="2">($B$2*A5)^$F$3/FACT($F$3)</f>
        <v>4.7950052029136314</v>
      </c>
      <c r="G5" s="22">
        <f t="shared" ref="G5:G15" si="3">($B$2*A5)^$G$3/FACT($G$3)</f>
        <v>4.9496827901043936</v>
      </c>
      <c r="H5" s="22">
        <f t="shared" ref="H5:H15" si="4">($B$2*A5)^$H$3/FACT($H$3)</f>
        <v>3.8320124826614657</v>
      </c>
      <c r="I5" s="22">
        <f t="shared" ref="I5:I15" si="5">($B$2*A5)^$I$3/FACT($I$3)</f>
        <v>2.3733754731322625</v>
      </c>
      <c r="J5" s="22">
        <f t="shared" ref="J5:J15" si="6">($B$2*A5)^$J$3/FACT($J$3)</f>
        <v>1.2249679861327807</v>
      </c>
      <c r="K5" s="22">
        <f t="shared" ref="K5:K15" si="7">($B$2*A5)^$K$3/FACT($K$3)</f>
        <v>0.54192132105413338</v>
      </c>
      <c r="L5" s="22">
        <f t="shared" ref="L5:L15" si="8">($B$2*A5)^$L$3/FACT($L$3)</f>
        <v>0.20977599524676133</v>
      </c>
      <c r="M5" s="22">
        <f t="shared" ref="M5:M15" si="9">($B$2*A5)^$M$3/FACT($M$3)</f>
        <v>7.2180987611788844E-2</v>
      </c>
      <c r="N5" s="22">
        <f t="shared" ref="N5:N15" si="10">($B$2*$A5)^$N$3/FACT($N$3)</f>
        <v>2.2352821970102351E-2</v>
      </c>
      <c r="O5" s="22">
        <f t="shared" ref="O5:O15" si="11">($B$2*$A5)^$O$3/FACT($O$3)</f>
        <v>6.2928765663631241E-3</v>
      </c>
      <c r="P5" s="22">
        <f t="shared" ref="P5:P15" si="12">($B$2*$A5)^$P$3/FACT($P$3)</f>
        <v>1.6239681461582254E-3</v>
      </c>
      <c r="Q5" s="22">
        <f t="shared" ref="Q5:Q15" si="13">($B$2*$A5)^$Q$3/FACT($Q$3)</f>
        <v>3.8685097278210828E-4</v>
      </c>
      <c r="R5" s="22">
        <f t="shared" ref="R5:R15" si="14">($B$2*$A5)^$R$3/FACT($R$3)</f>
        <v>8.5570722090051607E-5</v>
      </c>
      <c r="S5" s="22">
        <f t="shared" ref="S5:S15" si="15">($B$2*$A5)^$S$3/FACT($S$3)</f>
        <v>1.7666213592784847E-5</v>
      </c>
      <c r="T5" s="22"/>
    </row>
    <row r="6" spans="1:20" x14ac:dyDescent="0.15">
      <c r="A6" s="22">
        <v>0.38709677419354838</v>
      </c>
      <c r="B6" s="22">
        <f t="shared" si="0"/>
        <v>7.0870117602850335E-4</v>
      </c>
      <c r="C6" s="22"/>
      <c r="D6" s="22"/>
      <c r="E6" s="22">
        <f t="shared" si="1"/>
        <v>6.193548387096774</v>
      </c>
      <c r="F6" s="22">
        <f t="shared" si="2"/>
        <v>19.180020811654526</v>
      </c>
      <c r="G6" s="22">
        <f t="shared" si="3"/>
        <v>39.597462320835149</v>
      </c>
      <c r="H6" s="22">
        <f t="shared" si="4"/>
        <v>61.312199722583451</v>
      </c>
      <c r="I6" s="22">
        <f t="shared" si="5"/>
        <v>75.9480151402324</v>
      </c>
      <c r="J6" s="22">
        <f t="shared" si="6"/>
        <v>78.397951112497964</v>
      </c>
      <c r="K6" s="22">
        <f t="shared" si="7"/>
        <v>69.365929094929072</v>
      </c>
      <c r="L6" s="22">
        <f t="shared" si="8"/>
        <v>53.7026547831709</v>
      </c>
      <c r="M6" s="22">
        <f t="shared" si="9"/>
        <v>36.956665657235888</v>
      </c>
      <c r="N6" s="22">
        <f t="shared" si="10"/>
        <v>22.889289697384807</v>
      </c>
      <c r="O6" s="22">
        <f t="shared" si="11"/>
        <v>12.887811207911678</v>
      </c>
      <c r="P6" s="22">
        <f t="shared" si="12"/>
        <v>6.6517735266640914</v>
      </c>
      <c r="Q6" s="22">
        <f t="shared" si="13"/>
        <v>3.169083169031031</v>
      </c>
      <c r="R6" s="22">
        <f t="shared" si="14"/>
        <v>1.4019907107234055</v>
      </c>
      <c r="S6" s="22">
        <f t="shared" si="15"/>
        <v>0.57888648700837386</v>
      </c>
      <c r="T6" s="22"/>
    </row>
    <row r="7" spans="1:20" x14ac:dyDescent="0.15">
      <c r="A7" s="22">
        <v>0.58064516129032262</v>
      </c>
      <c r="B7" s="22">
        <f t="shared" si="0"/>
        <v>2.8243062550255771E-2</v>
      </c>
      <c r="C7" s="22"/>
      <c r="D7" s="22"/>
      <c r="E7" s="22">
        <f t="shared" si="1"/>
        <v>9.2903225806451619</v>
      </c>
      <c r="F7" s="22">
        <f t="shared" si="2"/>
        <v>43.155046826222687</v>
      </c>
      <c r="G7" s="22">
        <f t="shared" si="3"/>
        <v>133.64143533281865</v>
      </c>
      <c r="H7" s="22">
        <f t="shared" si="4"/>
        <v>310.3930110955788</v>
      </c>
      <c r="I7" s="22">
        <f t="shared" si="5"/>
        <v>576.73023997114001</v>
      </c>
      <c r="J7" s="22">
        <f t="shared" si="6"/>
        <v>893.00166189079744</v>
      </c>
      <c r="K7" s="22">
        <f t="shared" si="7"/>
        <v>1185.1819291453903</v>
      </c>
      <c r="L7" s="22">
        <f t="shared" si="8"/>
        <v>1376.3403048140015</v>
      </c>
      <c r="M7" s="22">
        <f t="shared" si="9"/>
        <v>1420.7383791628404</v>
      </c>
      <c r="N7" s="22">
        <f t="shared" si="10"/>
        <v>1319.9117845125743</v>
      </c>
      <c r="O7" s="22">
        <f t="shared" si="11"/>
        <v>1114.7642051015291</v>
      </c>
      <c r="P7" s="22">
        <f t="shared" si="12"/>
        <v>863.04325556247409</v>
      </c>
      <c r="Q7" s="22">
        <f t="shared" si="13"/>
        <v>616.76540347888965</v>
      </c>
      <c r="R7" s="22">
        <f t="shared" si="14"/>
        <v>409.28211106433235</v>
      </c>
      <c r="S7" s="22">
        <f t="shared" si="15"/>
        <v>253.49085588500586</v>
      </c>
      <c r="T7" s="22"/>
    </row>
    <row r="8" spans="1:20" x14ac:dyDescent="0.15">
      <c r="A8" s="22">
        <v>0.77419354838709675</v>
      </c>
      <c r="B8" s="22">
        <f t="shared" si="0"/>
        <v>0.18493048035985737</v>
      </c>
      <c r="C8" s="22"/>
      <c r="D8" s="22"/>
      <c r="E8" s="22">
        <f t="shared" si="1"/>
        <v>12.387096774193548</v>
      </c>
      <c r="F8" s="22">
        <f t="shared" si="2"/>
        <v>76.720083246618103</v>
      </c>
      <c r="G8" s="22">
        <f t="shared" si="3"/>
        <v>316.77969856668119</v>
      </c>
      <c r="H8" s="22">
        <f t="shared" si="4"/>
        <v>980.99519556133521</v>
      </c>
      <c r="I8" s="22">
        <f t="shared" si="5"/>
        <v>2430.3364844874368</v>
      </c>
      <c r="J8" s="22">
        <f t="shared" si="6"/>
        <v>5017.4688711998697</v>
      </c>
      <c r="K8" s="22">
        <f t="shared" si="7"/>
        <v>8878.8389241509212</v>
      </c>
      <c r="L8" s="22">
        <f t="shared" si="8"/>
        <v>13747.87962449175</v>
      </c>
      <c r="M8" s="22">
        <f t="shared" si="9"/>
        <v>18921.812816504775</v>
      </c>
      <c r="N8" s="22">
        <f t="shared" si="10"/>
        <v>23438.632650122043</v>
      </c>
      <c r="O8" s="22">
        <f t="shared" si="11"/>
        <v>26394.237353803117</v>
      </c>
      <c r="P8" s="22">
        <f t="shared" si="12"/>
        <v>27245.664365216118</v>
      </c>
      <c r="Q8" s="22">
        <f t="shared" si="13"/>
        <v>25961.129320702206</v>
      </c>
      <c r="R8" s="22">
        <f t="shared" si="14"/>
        <v>22970.215804492276</v>
      </c>
      <c r="S8" s="22">
        <f t="shared" si="15"/>
        <v>18968.952406290395</v>
      </c>
      <c r="T8" s="22"/>
    </row>
    <row r="9" spans="1:20" x14ac:dyDescent="0.15">
      <c r="A9" s="22">
        <v>0.967741935483871</v>
      </c>
      <c r="B9" s="22">
        <f t="shared" si="0"/>
        <v>0.48134955437079774</v>
      </c>
      <c r="C9" s="22"/>
      <c r="D9" s="22"/>
      <c r="E9" s="22">
        <f t="shared" si="1"/>
        <v>15.483870967741936</v>
      </c>
      <c r="F9" s="22">
        <f t="shared" si="2"/>
        <v>119.8751300728408</v>
      </c>
      <c r="G9" s="22">
        <f t="shared" si="3"/>
        <v>618.7103487630493</v>
      </c>
      <c r="H9" s="22">
        <f t="shared" si="4"/>
        <v>2395.007801663417</v>
      </c>
      <c r="I9" s="22">
        <f t="shared" si="5"/>
        <v>7416.7983535383237</v>
      </c>
      <c r="J9" s="22">
        <f t="shared" si="6"/>
        <v>19140.124783324711</v>
      </c>
      <c r="K9" s="22">
        <f t="shared" si="7"/>
        <v>42337.603207354194</v>
      </c>
      <c r="L9" s="22">
        <f t="shared" si="8"/>
        <v>81943.748143266188</v>
      </c>
      <c r="M9" s="22">
        <f t="shared" si="9"/>
        <v>140978.49142927516</v>
      </c>
      <c r="N9" s="22">
        <f t="shared" si="10"/>
        <v>218289.2770517809</v>
      </c>
      <c r="O9" s="22">
        <f t="shared" si="11"/>
        <v>307269.36359194969</v>
      </c>
      <c r="P9" s="22">
        <f t="shared" si="12"/>
        <v>396476.59818316094</v>
      </c>
      <c r="Q9" s="22">
        <f t="shared" si="13"/>
        <v>472230.19138441002</v>
      </c>
      <c r="R9" s="22">
        <f t="shared" si="14"/>
        <v>522282.23931916326</v>
      </c>
      <c r="S9" s="22">
        <f t="shared" si="15"/>
        <v>539130.05349074921</v>
      </c>
      <c r="T9" s="22"/>
    </row>
    <row r="10" spans="1:20" x14ac:dyDescent="0.15">
      <c r="A10" s="22">
        <v>1.1612903225806452</v>
      </c>
      <c r="B10" s="22">
        <f t="shared" si="0"/>
        <v>0.75672508312985809</v>
      </c>
      <c r="C10" s="22"/>
      <c r="D10" s="22"/>
      <c r="E10" s="22">
        <f t="shared" si="1"/>
        <v>18.580645161290324</v>
      </c>
      <c r="F10" s="22">
        <f t="shared" si="2"/>
        <v>172.62018730489075</v>
      </c>
      <c r="G10" s="22">
        <f t="shared" si="3"/>
        <v>1069.1314826625492</v>
      </c>
      <c r="H10" s="22">
        <f t="shared" si="4"/>
        <v>4966.2881775292608</v>
      </c>
      <c r="I10" s="22">
        <f t="shared" si="5"/>
        <v>18455.36767907648</v>
      </c>
      <c r="J10" s="22">
        <f t="shared" si="6"/>
        <v>57152.106361011036</v>
      </c>
      <c r="K10" s="22">
        <f t="shared" si="7"/>
        <v>151703.28693060996</v>
      </c>
      <c r="L10" s="22">
        <f t="shared" si="8"/>
        <v>352343.11803238437</v>
      </c>
      <c r="M10" s="22">
        <f t="shared" si="9"/>
        <v>727418.05013137427</v>
      </c>
      <c r="N10" s="22">
        <f t="shared" si="10"/>
        <v>1351589.6673408761</v>
      </c>
      <c r="O10" s="22">
        <f t="shared" si="11"/>
        <v>2283037.0920479316</v>
      </c>
      <c r="P10" s="22">
        <f t="shared" si="12"/>
        <v>3535025.1747838939</v>
      </c>
      <c r="Q10" s="22">
        <f t="shared" si="13"/>
        <v>5052542.185299064</v>
      </c>
      <c r="R10" s="22">
        <f t="shared" si="14"/>
        <v>6705678.1076780213</v>
      </c>
      <c r="S10" s="22">
        <f t="shared" si="15"/>
        <v>8306388.3656398719</v>
      </c>
      <c r="T10" s="22"/>
    </row>
    <row r="11" spans="1:20" x14ac:dyDescent="0.15">
      <c r="A11" s="22">
        <v>1.3548387096774193</v>
      </c>
      <c r="B11" s="22">
        <f t="shared" si="0"/>
        <v>0.91319465832827906</v>
      </c>
      <c r="C11" s="22"/>
      <c r="D11" s="22"/>
      <c r="E11" s="22">
        <f t="shared" si="1"/>
        <v>21.677419354838708</v>
      </c>
      <c r="F11" s="22">
        <f t="shared" si="2"/>
        <v>234.95525494276791</v>
      </c>
      <c r="G11" s="22">
        <f t="shared" si="3"/>
        <v>1697.7411970058067</v>
      </c>
      <c r="H11" s="22">
        <f t="shared" si="4"/>
        <v>9200.6619708701783</v>
      </c>
      <c r="I11" s="22">
        <f t="shared" si="5"/>
        <v>39889.321576933929</v>
      </c>
      <c r="J11" s="22">
        <f t="shared" si="6"/>
        <v>144116.25860053548</v>
      </c>
      <c r="K11" s="22">
        <f t="shared" si="7"/>
        <v>446295.51050488401</v>
      </c>
      <c r="L11" s="22">
        <f t="shared" si="8"/>
        <v>1209316.8671745243</v>
      </c>
      <c r="M11" s="22">
        <f t="shared" si="9"/>
        <v>2912763.206957994</v>
      </c>
      <c r="N11" s="22">
        <f t="shared" si="10"/>
        <v>6314118.9518573275</v>
      </c>
      <c r="O11" s="22">
        <f t="shared" si="11"/>
        <v>12443073.125067813</v>
      </c>
      <c r="P11" s="22">
        <f t="shared" si="12"/>
        <v>22477809.51625153</v>
      </c>
      <c r="Q11" s="22">
        <f t="shared" si="13"/>
        <v>37481607.927843742</v>
      </c>
      <c r="R11" s="22">
        <f t="shared" si="14"/>
        <v>58036038.081822567</v>
      </c>
      <c r="S11" s="22">
        <f t="shared" si="15"/>
        <v>83871435.679537117</v>
      </c>
      <c r="T11" s="22"/>
    </row>
    <row r="12" spans="1:20" x14ac:dyDescent="0.15">
      <c r="A12" s="22">
        <v>1.5483870967741935</v>
      </c>
      <c r="B12" s="22">
        <f t="shared" si="0"/>
        <v>0.97537005384726783</v>
      </c>
      <c r="C12" s="22"/>
      <c r="D12" s="22"/>
      <c r="E12" s="22">
        <f t="shared" si="1"/>
        <v>24.774193548387096</v>
      </c>
      <c r="F12" s="22">
        <f t="shared" si="2"/>
        <v>306.88033298647241</v>
      </c>
      <c r="G12" s="22">
        <f t="shared" si="3"/>
        <v>2534.2375885334495</v>
      </c>
      <c r="H12" s="22">
        <f t="shared" si="4"/>
        <v>15695.923128981363</v>
      </c>
      <c r="I12" s="22">
        <f t="shared" si="5"/>
        <v>77770.767503597977</v>
      </c>
      <c r="J12" s="22">
        <f t="shared" si="6"/>
        <v>321118.00775679166</v>
      </c>
      <c r="K12" s="22">
        <f t="shared" si="7"/>
        <v>1136491.3822913179</v>
      </c>
      <c r="L12" s="22">
        <f t="shared" si="8"/>
        <v>3519457.1838698881</v>
      </c>
      <c r="M12" s="22">
        <f t="shared" si="9"/>
        <v>9687968.1620504446</v>
      </c>
      <c r="N12" s="22">
        <f t="shared" si="10"/>
        <v>24001159.833724972</v>
      </c>
      <c r="O12" s="22">
        <f t="shared" si="11"/>
        <v>54055398.100588784</v>
      </c>
      <c r="P12" s="22">
        <f t="shared" si="12"/>
        <v>111598241.23992522</v>
      </c>
      <c r="Q12" s="22">
        <f t="shared" si="13"/>
        <v>212673571.39519247</v>
      </c>
      <c r="R12" s="22">
        <f t="shared" si="14"/>
        <v>376344015.74080145</v>
      </c>
      <c r="S12" s="22">
        <f t="shared" si="15"/>
        <v>621574632.44932365</v>
      </c>
      <c r="T12" s="22"/>
    </row>
    <row r="13" spans="1:20" x14ac:dyDescent="0.15">
      <c r="A13" s="22">
        <v>1.7419354838709677</v>
      </c>
      <c r="B13" s="22">
        <f t="shared" si="0"/>
        <v>0.99421584971863408</v>
      </c>
      <c r="C13" s="22"/>
      <c r="D13" s="22"/>
      <c r="E13" s="22">
        <f t="shared" si="1"/>
        <v>27.870967741935484</v>
      </c>
      <c r="F13" s="22">
        <f t="shared" si="2"/>
        <v>388.39542143600414</v>
      </c>
      <c r="G13" s="22">
        <f t="shared" si="3"/>
        <v>3608.3187539861028</v>
      </c>
      <c r="H13" s="22">
        <f t="shared" si="4"/>
        <v>25141.833898741879</v>
      </c>
      <c r="I13" s="22">
        <f t="shared" si="5"/>
        <v>140145.44831298699</v>
      </c>
      <c r="J13" s="22">
        <f t="shared" si="6"/>
        <v>650998.21151839115</v>
      </c>
      <c r="K13" s="22">
        <f t="shared" si="7"/>
        <v>2591992.8790409672</v>
      </c>
      <c r="L13" s="22">
        <f t="shared" si="8"/>
        <v>9030168.7398846596</v>
      </c>
      <c r="M13" s="22">
        <f t="shared" si="9"/>
        <v>27964393.517062172</v>
      </c>
      <c r="N13" s="22">
        <f t="shared" si="10"/>
        <v>77939470.96368295</v>
      </c>
      <c r="O13" s="22">
        <f t="shared" si="11"/>
        <v>197477134.64112043</v>
      </c>
      <c r="P13" s="22">
        <f t="shared" si="12"/>
        <v>458656570.77937651</v>
      </c>
      <c r="Q13" s="22">
        <f t="shared" si="13"/>
        <v>983323268.37067306</v>
      </c>
      <c r="R13" s="22">
        <f t="shared" si="14"/>
        <v>1957583649.4752572</v>
      </c>
      <c r="S13" s="22">
        <f t="shared" si="15"/>
        <v>3637316716.4443479</v>
      </c>
      <c r="T13" s="22"/>
    </row>
    <row r="14" spans="1:20" x14ac:dyDescent="0.15">
      <c r="A14" s="22">
        <v>1.935483870967742</v>
      </c>
      <c r="B14" s="22">
        <f t="shared" si="0"/>
        <v>0.9988385194885957</v>
      </c>
      <c r="C14" s="22"/>
      <c r="D14" s="22"/>
      <c r="E14" s="22">
        <f t="shared" si="1"/>
        <v>30.967741935483872</v>
      </c>
      <c r="F14" s="22">
        <f t="shared" si="2"/>
        <v>479.50052029136322</v>
      </c>
      <c r="G14" s="22">
        <f t="shared" si="3"/>
        <v>4949.6827901043944</v>
      </c>
      <c r="H14" s="22">
        <f t="shared" si="4"/>
        <v>38320.124826614672</v>
      </c>
      <c r="I14" s="22">
        <f t="shared" si="5"/>
        <v>237337.54731322636</v>
      </c>
      <c r="J14" s="22">
        <f t="shared" si="6"/>
        <v>1224967.9861327815</v>
      </c>
      <c r="K14" s="22">
        <f t="shared" si="7"/>
        <v>5419213.2105413368</v>
      </c>
      <c r="L14" s="22">
        <f t="shared" si="8"/>
        <v>20977599.524676144</v>
      </c>
      <c r="M14" s="22">
        <f t="shared" si="9"/>
        <v>72180987.611788884</v>
      </c>
      <c r="N14" s="22">
        <f t="shared" si="10"/>
        <v>223528219.70102364</v>
      </c>
      <c r="O14" s="22">
        <f t="shared" si="11"/>
        <v>629287656.63631296</v>
      </c>
      <c r="P14" s="22">
        <f t="shared" si="12"/>
        <v>1623968146.1582272</v>
      </c>
      <c r="Q14" s="22">
        <f t="shared" si="13"/>
        <v>3868509727.8210869</v>
      </c>
      <c r="R14" s="22">
        <f t="shared" si="14"/>
        <v>8557072209.0051708</v>
      </c>
      <c r="S14" s="22">
        <f t="shared" si="15"/>
        <v>17666213592.78487</v>
      </c>
      <c r="T14" s="22"/>
    </row>
    <row r="15" spans="1:20" x14ac:dyDescent="0.15">
      <c r="A15" s="22">
        <v>2.129032258064516</v>
      </c>
      <c r="B15" s="22">
        <f t="shared" si="0"/>
        <v>0.9997953755968475</v>
      </c>
      <c r="C15" s="22"/>
      <c r="D15" s="22"/>
      <c r="E15" s="22">
        <f t="shared" si="1"/>
        <v>34.064516129032256</v>
      </c>
      <c r="F15" s="22">
        <f t="shared" si="2"/>
        <v>580.19562955254935</v>
      </c>
      <c r="G15" s="22">
        <f t="shared" si="3"/>
        <v>6588.0277936289467</v>
      </c>
      <c r="H15" s="22">
        <f t="shared" si="4"/>
        <v>56104.494758646506</v>
      </c>
      <c r="I15" s="22">
        <f t="shared" si="5"/>
        <v>382234.49332342396</v>
      </c>
      <c r="J15" s="22">
        <f t="shared" si="6"/>
        <v>2170105.5104813743</v>
      </c>
      <c r="K15" s="22">
        <f t="shared" si="7"/>
        <v>10560513.451927794</v>
      </c>
      <c r="L15" s="22">
        <f t="shared" si="8"/>
        <v>44967347.60175705</v>
      </c>
      <c r="M15" s="22">
        <f t="shared" si="9"/>
        <v>170198993.07331699</v>
      </c>
      <c r="N15" s="22">
        <f t="shared" si="10"/>
        <v>579774634.4691056</v>
      </c>
      <c r="O15" s="22">
        <f t="shared" si="11"/>
        <v>1795431126.0978751</v>
      </c>
      <c r="P15" s="22">
        <f t="shared" si="12"/>
        <v>5096707712.7939682</v>
      </c>
      <c r="Q15" s="22">
        <f t="shared" si="13"/>
        <v>13355144775.956402</v>
      </c>
      <c r="R15" s="22">
        <f t="shared" si="14"/>
        <v>32495467473.294838</v>
      </c>
      <c r="S15" s="22">
        <f t="shared" si="15"/>
        <v>73796158390.966324</v>
      </c>
      <c r="T15" s="22"/>
    </row>
    <row r="16" spans="1:20" x14ac:dyDescent="0.1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</row>
    <row r="17" spans="1:14" x14ac:dyDescent="0.1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</row>
  </sheetData>
  <phoneticPr fontId="3"/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例題1.9槽列モデルステップ応答</vt:lpstr>
      <vt:lpstr>解析解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2017-01-20T06:08:54Z</dcterms:modified>
</cp:coreProperties>
</file>