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-3644" yWindow="2454" windowWidth="22301" windowHeight="14438"/>
  </bookViews>
  <sheets>
    <sheet name="例題1.8 槽列モデルインパルス応答" sheetId="2" r:id="rId1"/>
    <sheet name="解析解" sheetId="1" r:id="rId2"/>
  </sheets>
  <calcPr calcId="162913"/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5" i="2"/>
  <c r="B4" i="1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F5" i="2"/>
  <c r="G5" i="2"/>
  <c r="H5" i="2"/>
  <c r="I5" i="2"/>
  <c r="J5" i="2"/>
  <c r="K5" i="2"/>
  <c r="B1" i="2"/>
  <c r="B12" i="2"/>
  <c r="E5" i="2"/>
  <c r="D5" i="2"/>
  <c r="C5" i="2"/>
</calcChain>
</file>

<file path=xl/comments1.xml><?xml version="1.0" encoding="utf-8"?>
<comments xmlns="http://schemas.openxmlformats.org/spreadsheetml/2006/main">
  <authors>
    <author>ito akira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>=$E$1*(0-B3)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=$E$1*(B3-C3)
</t>
        </r>
      </text>
    </comment>
  </commentList>
</comments>
</file>

<file path=xl/sharedStrings.xml><?xml version="1.0" encoding="utf-8"?>
<sst xmlns="http://schemas.openxmlformats.org/spreadsheetml/2006/main" count="90" uniqueCount="90">
  <si>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</si>
  <si>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</si>
  <si>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</si>
  <si>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</si>
  <si>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</si>
  <si>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</si>
  <si>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θ=</t>
    <phoneticPr fontId="3"/>
  </si>
  <si>
    <t>E1=</t>
    <phoneticPr fontId="3"/>
  </si>
  <si>
    <t>E2=</t>
    <phoneticPr fontId="3"/>
  </si>
  <si>
    <t>E3=</t>
    <phoneticPr fontId="3"/>
  </si>
  <si>
    <t>E4=</t>
    <phoneticPr fontId="3"/>
  </si>
  <si>
    <t>E1'=</t>
    <phoneticPr fontId="3"/>
  </si>
  <si>
    <t>E2'=</t>
    <phoneticPr fontId="3"/>
  </si>
  <si>
    <t>E3'=</t>
    <phoneticPr fontId="3"/>
  </si>
  <si>
    <t>E4'=</t>
    <phoneticPr fontId="3"/>
  </si>
  <si>
    <t>θ</t>
    <phoneticPr fontId="3"/>
  </si>
  <si>
    <t>E1</t>
    <phoneticPr fontId="3"/>
  </si>
  <si>
    <t>E2</t>
    <phoneticPr fontId="3"/>
  </si>
  <si>
    <t>E3</t>
    <phoneticPr fontId="3"/>
  </si>
  <si>
    <t>E4</t>
    <phoneticPr fontId="3"/>
  </si>
  <si>
    <t>N=</t>
    <phoneticPr fontId="3"/>
  </si>
  <si>
    <t>E5=</t>
  </si>
  <si>
    <t>E6=</t>
  </si>
  <si>
    <t>E7=</t>
  </si>
  <si>
    <t>E8=</t>
  </si>
  <si>
    <t>E9=</t>
  </si>
  <si>
    <t>E10=</t>
  </si>
  <si>
    <t>E5'=</t>
  </si>
  <si>
    <t>E6'=</t>
  </si>
  <si>
    <t>E7'=</t>
  </si>
  <si>
    <t>E8'=</t>
  </si>
  <si>
    <t>E9'=</t>
  </si>
  <si>
    <t>E10'=</t>
  </si>
  <si>
    <t>E5</t>
  </si>
  <si>
    <t>E6</t>
  </si>
  <si>
    <t>E7</t>
  </si>
  <si>
    <t>E8</t>
  </si>
  <si>
    <t>E9</t>
  </si>
  <si>
    <t>E10</t>
  </si>
  <si>
    <t>E11=</t>
  </si>
  <si>
    <t>E12=</t>
  </si>
  <si>
    <t>E13=</t>
  </si>
  <si>
    <t>E14=</t>
  </si>
  <si>
    <t>E15=</t>
  </si>
  <si>
    <t>E16=</t>
  </si>
  <si>
    <t>E17=</t>
  </si>
  <si>
    <t>E18=</t>
  </si>
  <si>
    <t>E19=</t>
  </si>
  <si>
    <t>E20=</t>
  </si>
  <si>
    <t>E21=</t>
  </si>
  <si>
    <t>E22=</t>
  </si>
  <si>
    <t>E23=</t>
  </si>
  <si>
    <t>E24=</t>
  </si>
  <si>
    <t>E25=</t>
  </si>
  <si>
    <t>E26=</t>
  </si>
  <si>
    <t>E11'=</t>
  </si>
  <si>
    <t>E12'=</t>
  </si>
  <si>
    <t>E13'=</t>
  </si>
  <si>
    <t>E14'=</t>
  </si>
  <si>
    <t>E15'=</t>
  </si>
  <si>
    <t>E16'=</t>
  </si>
  <si>
    <t>E17'=</t>
  </si>
  <si>
    <t>E18'=</t>
  </si>
  <si>
    <t>E19'=</t>
  </si>
  <si>
    <t>E20'=</t>
  </si>
  <si>
    <t>E21'=</t>
  </si>
  <si>
    <t>E22'=</t>
  </si>
  <si>
    <t>E23'=</t>
  </si>
  <si>
    <t>E24'=</t>
  </si>
  <si>
    <t>E25'=</t>
  </si>
  <si>
    <t>E26'=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</si>
  <si>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</si>
  <si>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</si>
  <si>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</si>
  <si>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</si>
  <si>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</si>
  <si>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</si>
  <si>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</si>
  <si>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</si>
  <si>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</si>
  <si>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</si>
  <si>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</si>
  <si>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</si>
  <si>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</si>
  <si>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</si>
  <si>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</si>
  <si>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</si>
  <si>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</t>
    <phoneticPr fontId="3"/>
  </si>
  <si>
    <t>θ</t>
  </si>
  <si>
    <t>解析解N=</t>
    <rPh sb="0" eb="2">
      <t>カイセキ</t>
    </rPh>
    <rPh sb="2" eb="3">
      <t>カイ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</si>
</sst>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0_);[Red]\(0.00\)"/>
    <numFmt numFmtId="178" formatCode="0.000_);[Red]\(0.000\)"/>
    <numFmt numFmtId="179" formatCode="0_ "/>
  </numFmts>
  <fonts count="8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5">
    <xf numFmtId="0" fontId="0" fillId="0" borderId="0" xfId="0">
      <alignment vertical="center"/>
    </xf>
    <xf numFmtId="0" fontId="4" fillId="0" borderId="0" xfId="2" applyFont="1"/>
    <xf numFmtId="177" fontId="4" fillId="0" borderId="0" xfId="2" applyNumberFormat="1" applyFont="1"/>
    <xf numFmtId="177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0" xfId="2" applyFont="1" applyAlignment="1">
      <alignment horizontal="right"/>
    </xf>
    <xf numFmtId="11" fontId="4" fillId="0" borderId="0" xfId="2" applyNumberFormat="1" applyFont="1"/>
    <xf numFmtId="177" fontId="4" fillId="0" borderId="0" xfId="2" applyNumberFormat="1" applyFont="1" applyBorder="1"/>
    <xf numFmtId="179" fontId="4" fillId="0" borderId="0" xfId="2" applyNumberFormat="1" applyFont="1"/>
    <xf numFmtId="178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5" fillId="0" borderId="0" xfId="1" applyFont="1" applyAlignment="1" applyProtection="1"/>
    <xf numFmtId="0" fontId="4" fillId="0" borderId="5" xfId="2" applyNumberFormat="1" applyFont="1" applyBorder="1"/>
    <xf numFmtId="0" fontId="4" fillId="0" borderId="6" xfId="2" applyNumberFormat="1" applyFont="1" applyBorder="1"/>
    <xf numFmtId="0" fontId="4" fillId="0" borderId="7" xfId="2" applyNumberFormat="1" applyFont="1" applyBorder="1"/>
    <xf numFmtId="0" fontId="2" fillId="0" borderId="0" xfId="0" applyFont="1">
      <alignment vertical="center"/>
    </xf>
    <xf numFmtId="11" fontId="2" fillId="0" borderId="0" xfId="0" applyNumberFormat="1" applyFont="1">
      <alignment vertical="center"/>
    </xf>
    <xf numFmtId="176" fontId="4" fillId="0" borderId="5" xfId="2" applyNumberFormat="1" applyFont="1" applyBorder="1"/>
    <xf numFmtId="176" fontId="4" fillId="0" borderId="6" xfId="2" applyNumberFormat="1" applyFont="1" applyBorder="1"/>
    <xf numFmtId="176" fontId="4" fillId="0" borderId="7" xfId="2" applyNumberFormat="1" applyFont="1" applyBorder="1"/>
    <xf numFmtId="176" fontId="4" fillId="0" borderId="0" xfId="2" applyNumberFormat="1" applyFont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28840970350405"/>
          <c:y val="5.8365758754863814E-2"/>
          <c:w val="0.75471698113207553"/>
          <c:h val="0.70038910505836571"/>
        </c:manualLayout>
      </c:layout>
      <c:scatterChart>
        <c:scatterStyle val="lineMarker"/>
        <c:varyColors val="0"/>
        <c:ser>
          <c:idx val="2"/>
          <c:order val="0"/>
          <c:tx>
            <c:v>E26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'例題1.8 槽列モデルインパルス応答'!$A$12:$A$62</c:f>
              <c:numCache>
                <c:formatCode>0.00_);[Red]\(0.00\)</c:formatCode>
                <c:ptCount val="5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0.19999999999999998</c:v>
                </c:pt>
                <c:pt idx="5">
                  <c:v>0.24999999999999997</c:v>
                </c:pt>
                <c:pt idx="6">
                  <c:v>0.3</c:v>
                </c:pt>
                <c:pt idx="7">
                  <c:v>0.35000000000000003</c:v>
                </c:pt>
                <c:pt idx="8">
                  <c:v>0.40000000000000008</c:v>
                </c:pt>
                <c:pt idx="9">
                  <c:v>0.45000000000000012</c:v>
                </c:pt>
                <c:pt idx="10">
                  <c:v>0.50000000000000011</c:v>
                </c:pt>
                <c:pt idx="11">
                  <c:v>0.55000000000000016</c:v>
                </c:pt>
                <c:pt idx="12">
                  <c:v>0.6000000000000002</c:v>
                </c:pt>
                <c:pt idx="13">
                  <c:v>0.65000000000000024</c:v>
                </c:pt>
                <c:pt idx="14">
                  <c:v>0.70000000000000029</c:v>
                </c:pt>
                <c:pt idx="15">
                  <c:v>0.75000000000000033</c:v>
                </c:pt>
                <c:pt idx="16">
                  <c:v>0.80000000000000038</c:v>
                </c:pt>
                <c:pt idx="17">
                  <c:v>0.85000000000000042</c:v>
                </c:pt>
                <c:pt idx="18">
                  <c:v>0.90000000000000047</c:v>
                </c:pt>
                <c:pt idx="19">
                  <c:v>0.95000000000000051</c:v>
                </c:pt>
                <c:pt idx="20">
                  <c:v>1.0000000000000004</c:v>
                </c:pt>
                <c:pt idx="21">
                  <c:v>1.0500000000000003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1.1999999999999997</c:v>
                </c:pt>
                <c:pt idx="25">
                  <c:v>1.2499999999999996</c:v>
                </c:pt>
                <c:pt idx="26">
                  <c:v>1.2999999999999994</c:v>
                </c:pt>
                <c:pt idx="27">
                  <c:v>1.3499999999999992</c:v>
                </c:pt>
                <c:pt idx="28">
                  <c:v>1.399999999999999</c:v>
                </c:pt>
                <c:pt idx="29">
                  <c:v>1.4499999999999988</c:v>
                </c:pt>
                <c:pt idx="30">
                  <c:v>1.4999999999999987</c:v>
                </c:pt>
                <c:pt idx="31">
                  <c:v>1.5499999999999985</c:v>
                </c:pt>
                <c:pt idx="32">
                  <c:v>1.5999999999999983</c:v>
                </c:pt>
                <c:pt idx="33">
                  <c:v>1.6499999999999981</c:v>
                </c:pt>
                <c:pt idx="34">
                  <c:v>1.699999999999998</c:v>
                </c:pt>
                <c:pt idx="35">
                  <c:v>1.7499999999999978</c:v>
                </c:pt>
                <c:pt idx="36">
                  <c:v>1.7999999999999976</c:v>
                </c:pt>
                <c:pt idx="37">
                  <c:v>1.8499999999999974</c:v>
                </c:pt>
                <c:pt idx="38">
                  <c:v>1.8999999999999972</c:v>
                </c:pt>
                <c:pt idx="39">
                  <c:v>1.9499999999999971</c:v>
                </c:pt>
                <c:pt idx="40">
                  <c:v>1.9999999999999969</c:v>
                </c:pt>
                <c:pt idx="41">
                  <c:v>2.0499999999999967</c:v>
                </c:pt>
                <c:pt idx="42">
                  <c:v>2.0999999999999965</c:v>
                </c:pt>
                <c:pt idx="43">
                  <c:v>2.1499999999999964</c:v>
                </c:pt>
                <c:pt idx="44">
                  <c:v>2.1999999999999962</c:v>
                </c:pt>
                <c:pt idx="45">
                  <c:v>2.249999999999996</c:v>
                </c:pt>
                <c:pt idx="46">
                  <c:v>2.2999999999999958</c:v>
                </c:pt>
                <c:pt idx="47">
                  <c:v>2.3499999999999956</c:v>
                </c:pt>
                <c:pt idx="48">
                  <c:v>2.3999999999999955</c:v>
                </c:pt>
                <c:pt idx="49">
                  <c:v>2.4499999999999953</c:v>
                </c:pt>
                <c:pt idx="50">
                  <c:v>2.4999999999999951</c:v>
                </c:pt>
              </c:numCache>
            </c:numRef>
          </c:xVal>
          <c:yVal>
            <c:numRef>
              <c:f>'例題1.8 槽列モデルインパルス応答'!$AA$12:$AA$62</c:f>
              <c:numCache>
                <c:formatCode>0.00_ 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-1.4402692592791269E-3</c:v>
                </c:pt>
                <c:pt idx="8">
                  <c:v>-1.5860230277752026E-2</c:v>
                </c:pt>
                <c:pt idx="9">
                  <c:v>-4.2692025806639167E-2</c:v>
                </c:pt>
                <c:pt idx="10">
                  <c:v>-4.9282425648011087E-2</c:v>
                </c:pt>
                <c:pt idx="11">
                  <c:v>-2.096854511307214E-3</c:v>
                </c:pt>
                <c:pt idx="12">
                  <c:v>0.12128536948822055</c:v>
                </c:pt>
                <c:pt idx="13">
                  <c:v>0.33323328858636536</c:v>
                </c:pt>
                <c:pt idx="14">
                  <c:v>0.63226071570763431</c:v>
                </c:pt>
                <c:pt idx="15">
                  <c:v>0.99530770616958586</c:v>
                </c:pt>
                <c:pt idx="16">
                  <c:v>1.3761137366961405</c:v>
                </c:pt>
                <c:pt idx="17">
                  <c:v>1.7149003894687549</c:v>
                </c:pt>
                <c:pt idx="18">
                  <c:v>1.9556760405217213</c:v>
                </c:pt>
                <c:pt idx="19">
                  <c:v>2.0626643662474775</c:v>
                </c:pt>
                <c:pt idx="20">
                  <c:v>2.0286968969617658</c:v>
                </c:pt>
                <c:pt idx="21">
                  <c:v>1.8733932239892213</c:v>
                </c:pt>
                <c:pt idx="22">
                  <c:v>1.6338102712547542</c:v>
                </c:pt>
                <c:pt idx="23">
                  <c:v>1.3525281701204692</c:v>
                </c:pt>
                <c:pt idx="24">
                  <c:v>1.0676039721707165</c:v>
                </c:pt>
                <c:pt idx="25">
                  <c:v>0.80671336453268339</c:v>
                </c:pt>
                <c:pt idx="26">
                  <c:v>0.58561261260454234</c:v>
                </c:pt>
                <c:pt idx="27">
                  <c:v>0.4096912580972093</c:v>
                </c:pt>
                <c:pt idx="28">
                  <c:v>0.27700525400109705</c:v>
                </c:pt>
                <c:pt idx="29">
                  <c:v>0.18147164032374546</c:v>
                </c:pt>
                <c:pt idx="30">
                  <c:v>0.11545504869359914</c:v>
                </c:pt>
                <c:pt idx="31">
                  <c:v>7.1482052442117694E-2</c:v>
                </c:pt>
                <c:pt idx="32">
                  <c:v>4.3149066856064566E-2</c:v>
                </c:pt>
                <c:pt idx="33">
                  <c:v>2.5437254505823455E-2</c:v>
                </c:pt>
                <c:pt idx="34">
                  <c:v>1.466763072639197E-2</c:v>
                </c:pt>
                <c:pt idx="35">
                  <c:v>8.2841310267291433E-3</c:v>
                </c:pt>
                <c:pt idx="36">
                  <c:v>4.5886405862529782E-3</c:v>
                </c:pt>
                <c:pt idx="37">
                  <c:v>2.4956076411948545E-3</c:v>
                </c:pt>
                <c:pt idx="38">
                  <c:v>1.3340932212976525E-3</c:v>
                </c:pt>
                <c:pt idx="39">
                  <c:v>7.0167801900007112E-4</c:v>
                </c:pt>
                <c:pt idx="40">
                  <c:v>3.6343046161595134E-4</c:v>
                </c:pt>
                <c:pt idx="41">
                  <c:v>1.8552210058951437E-4</c:v>
                </c:pt>
                <c:pt idx="42">
                  <c:v>9.340974817850293E-5</c:v>
                </c:pt>
                <c:pt idx="43">
                  <c:v>4.6421295261204322E-5</c:v>
                </c:pt>
                <c:pt idx="44">
                  <c:v>2.2785282936154892E-5</c:v>
                </c:pt>
                <c:pt idx="45">
                  <c:v>1.105265941360945E-5</c:v>
                </c:pt>
                <c:pt idx="46">
                  <c:v>5.3014999075431122E-6</c:v>
                </c:pt>
                <c:pt idx="47">
                  <c:v>2.5158097147857484E-6</c:v>
                </c:pt>
                <c:pt idx="48">
                  <c:v>1.1817234997979032E-6</c:v>
                </c:pt>
                <c:pt idx="49">
                  <c:v>5.4968119258029112E-7</c:v>
                </c:pt>
                <c:pt idx="50">
                  <c:v>2.533073372890742E-7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F3-4F46-8AC3-C548BFB61E88}"/>
            </c:ext>
          </c:extLst>
        </c:ser>
        <c:ser>
          <c:idx val="0"/>
          <c:order val="1"/>
          <c:tx>
            <c:v>E5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'例題1.8 槽列モデルインパルス応答'!$A$12:$A$43</c:f>
              <c:numCache>
                <c:formatCode>0.00_);[Red]\(0.00\)</c:formatCode>
                <c:ptCount val="3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0.19999999999999998</c:v>
                </c:pt>
                <c:pt idx="5">
                  <c:v>0.24999999999999997</c:v>
                </c:pt>
                <c:pt idx="6">
                  <c:v>0.3</c:v>
                </c:pt>
                <c:pt idx="7">
                  <c:v>0.35000000000000003</c:v>
                </c:pt>
                <c:pt idx="8">
                  <c:v>0.40000000000000008</c:v>
                </c:pt>
                <c:pt idx="9">
                  <c:v>0.45000000000000012</c:v>
                </c:pt>
                <c:pt idx="10">
                  <c:v>0.50000000000000011</c:v>
                </c:pt>
                <c:pt idx="11">
                  <c:v>0.55000000000000016</c:v>
                </c:pt>
                <c:pt idx="12">
                  <c:v>0.6000000000000002</c:v>
                </c:pt>
                <c:pt idx="13">
                  <c:v>0.65000000000000024</c:v>
                </c:pt>
                <c:pt idx="14">
                  <c:v>0.70000000000000029</c:v>
                </c:pt>
                <c:pt idx="15">
                  <c:v>0.75000000000000033</c:v>
                </c:pt>
                <c:pt idx="16">
                  <c:v>0.80000000000000038</c:v>
                </c:pt>
                <c:pt idx="17">
                  <c:v>0.85000000000000042</c:v>
                </c:pt>
                <c:pt idx="18">
                  <c:v>0.90000000000000047</c:v>
                </c:pt>
                <c:pt idx="19">
                  <c:v>0.95000000000000051</c:v>
                </c:pt>
                <c:pt idx="20">
                  <c:v>1.0000000000000004</c:v>
                </c:pt>
                <c:pt idx="21">
                  <c:v>1.0500000000000003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1.1999999999999997</c:v>
                </c:pt>
                <c:pt idx="25">
                  <c:v>1.2499999999999996</c:v>
                </c:pt>
                <c:pt idx="26">
                  <c:v>1.2999999999999994</c:v>
                </c:pt>
                <c:pt idx="27">
                  <c:v>1.3499999999999992</c:v>
                </c:pt>
                <c:pt idx="28">
                  <c:v>1.399999999999999</c:v>
                </c:pt>
                <c:pt idx="29">
                  <c:v>1.4499999999999988</c:v>
                </c:pt>
                <c:pt idx="30">
                  <c:v>1.4999999999999987</c:v>
                </c:pt>
                <c:pt idx="31">
                  <c:v>1.5499999999999985</c:v>
                </c:pt>
              </c:numCache>
            </c:numRef>
          </c:xVal>
          <c:yVal>
            <c:numRef>
              <c:f>'例題1.8 槽列モデルインパルス応答'!$F$12:$F$43</c:f>
              <c:numCache>
                <c:formatCode>0.00_ </c:formatCode>
                <c:ptCount val="32"/>
                <c:pt idx="0">
                  <c:v>0</c:v>
                </c:pt>
                <c:pt idx="1">
                  <c:v>3.0941083333333341</c:v>
                </c:pt>
                <c:pt idx="2">
                  <c:v>6.0292568510416675</c:v>
                </c:pt>
                <c:pt idx="3">
                  <c:v>6.5052809969342649</c:v>
                </c:pt>
                <c:pt idx="4">
                  <c:v>4.9439780334683325</c:v>
                </c:pt>
                <c:pt idx="5">
                  <c:v>3.0630712497293429</c:v>
                </c:pt>
                <c:pt idx="6">
                  <c:v>1.6645719712275886</c:v>
                </c:pt>
                <c:pt idx="7">
                  <c:v>0.82609227346875047</c:v>
                </c:pt>
                <c:pt idx="8">
                  <c:v>0.38361117271619116</c:v>
                </c:pt>
                <c:pt idx="9">
                  <c:v>0.1693222257338706</c:v>
                </c:pt>
                <c:pt idx="10">
                  <c:v>7.1804712459191219E-2</c:v>
                </c:pt>
                <c:pt idx="11">
                  <c:v>2.9479791122011142E-2</c:v>
                </c:pt>
                <c:pt idx="12">
                  <c:v>1.1783462232731478E-2</c:v>
                </c:pt>
                <c:pt idx="13">
                  <c:v>4.6052388918729958E-3</c:v>
                </c:pt>
                <c:pt idx="14">
                  <c:v>1.7656364212170462E-3</c:v>
                </c:pt>
                <c:pt idx="15">
                  <c:v>6.6582492662173721E-4</c:v>
                </c:pt>
                <c:pt idx="16">
                  <c:v>2.4748378325333107E-4</c:v>
                </c:pt>
                <c:pt idx="17">
                  <c:v>9.0826419847153802E-5</c:v>
                </c:pt>
                <c:pt idx="18">
                  <c:v>3.2959324731536983E-5</c:v>
                </c:pt>
                <c:pt idx="19">
                  <c:v>1.1840392590718776E-5</c:v>
                </c:pt>
                <c:pt idx="20">
                  <c:v>4.2151839914952559E-6</c:v>
                </c:pt>
                <c:pt idx="21">
                  <c:v>1.4883537735158671E-6</c:v>
                </c:pt>
                <c:pt idx="22">
                  <c:v>5.2162598731481117E-7</c:v>
                </c:pt>
                <c:pt idx="23">
                  <c:v>1.8157533779197383E-7</c:v>
                </c:pt>
                <c:pt idx="24">
                  <c:v>6.2812285516188861E-8</c:v>
                </c:pt>
                <c:pt idx="25">
                  <c:v>2.1604194384739472E-8</c:v>
                </c:pt>
                <c:pt idx="26">
                  <c:v>7.3914184033027444E-9</c:v>
                </c:pt>
                <c:pt idx="27">
                  <c:v>2.5164183732581931E-9</c:v>
                </c:pt>
                <c:pt idx="28">
                  <c:v>8.5281359566995205E-10</c:v>
                </c:pt>
                <c:pt idx="29">
                  <c:v>2.8779069300341243E-10</c:v>
                </c:pt>
                <c:pt idx="30">
                  <c:v>9.6732477705916516E-11</c:v>
                </c:pt>
                <c:pt idx="31">
                  <c:v>3.2392956507977099E-11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F3-4F46-8AC3-C548BFB61E88}"/>
            </c:ext>
          </c:extLst>
        </c:ser>
        <c:ser>
          <c:idx val="1"/>
          <c:order val="2"/>
          <c:tx>
            <c:v>E10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'例題1.8 槽列モデルインパルス応答'!$A$12:$A$50</c:f>
              <c:numCache>
                <c:formatCode>0.00_);[Red]\(0.00\)</c:formatCode>
                <c:ptCount val="3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0.19999999999999998</c:v>
                </c:pt>
                <c:pt idx="5">
                  <c:v>0.24999999999999997</c:v>
                </c:pt>
                <c:pt idx="6">
                  <c:v>0.3</c:v>
                </c:pt>
                <c:pt idx="7">
                  <c:v>0.35000000000000003</c:v>
                </c:pt>
                <c:pt idx="8">
                  <c:v>0.40000000000000008</c:v>
                </c:pt>
                <c:pt idx="9">
                  <c:v>0.45000000000000012</c:v>
                </c:pt>
                <c:pt idx="10">
                  <c:v>0.50000000000000011</c:v>
                </c:pt>
                <c:pt idx="11">
                  <c:v>0.55000000000000016</c:v>
                </c:pt>
                <c:pt idx="12">
                  <c:v>0.6000000000000002</c:v>
                </c:pt>
                <c:pt idx="13">
                  <c:v>0.65000000000000024</c:v>
                </c:pt>
                <c:pt idx="14">
                  <c:v>0.70000000000000029</c:v>
                </c:pt>
                <c:pt idx="15">
                  <c:v>0.75000000000000033</c:v>
                </c:pt>
                <c:pt idx="16">
                  <c:v>0.80000000000000038</c:v>
                </c:pt>
                <c:pt idx="17">
                  <c:v>0.85000000000000042</c:v>
                </c:pt>
                <c:pt idx="18">
                  <c:v>0.90000000000000047</c:v>
                </c:pt>
                <c:pt idx="19">
                  <c:v>0.95000000000000051</c:v>
                </c:pt>
                <c:pt idx="20">
                  <c:v>1.0000000000000004</c:v>
                </c:pt>
                <c:pt idx="21">
                  <c:v>1.0500000000000003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1.1999999999999997</c:v>
                </c:pt>
                <c:pt idx="25">
                  <c:v>1.2499999999999996</c:v>
                </c:pt>
                <c:pt idx="26">
                  <c:v>1.2999999999999994</c:v>
                </c:pt>
                <c:pt idx="27">
                  <c:v>1.3499999999999992</c:v>
                </c:pt>
                <c:pt idx="28">
                  <c:v>1.399999999999999</c:v>
                </c:pt>
                <c:pt idx="29">
                  <c:v>1.4499999999999988</c:v>
                </c:pt>
                <c:pt idx="30">
                  <c:v>1.4999999999999987</c:v>
                </c:pt>
                <c:pt idx="31">
                  <c:v>1.5499999999999985</c:v>
                </c:pt>
                <c:pt idx="32">
                  <c:v>1.5999999999999983</c:v>
                </c:pt>
                <c:pt idx="33">
                  <c:v>1.6499999999999981</c:v>
                </c:pt>
                <c:pt idx="34">
                  <c:v>1.699999999999998</c:v>
                </c:pt>
                <c:pt idx="35">
                  <c:v>1.7499999999999978</c:v>
                </c:pt>
                <c:pt idx="36">
                  <c:v>1.7999999999999976</c:v>
                </c:pt>
                <c:pt idx="37">
                  <c:v>1.8499999999999974</c:v>
                </c:pt>
                <c:pt idx="38">
                  <c:v>1.8999999999999972</c:v>
                </c:pt>
              </c:numCache>
            </c:numRef>
          </c:xVal>
          <c:yVal>
            <c:numRef>
              <c:f>'例題1.8 槽列モデルインパルス応答'!$K$12:$K$48</c:f>
              <c:numCache>
                <c:formatCode>0.00_ 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-0.71681629008290904</c:v>
                </c:pt>
                <c:pt idx="4">
                  <c:v>4.3537375122646771E-2</c:v>
                </c:pt>
                <c:pt idx="5">
                  <c:v>1.4754541202037701</c:v>
                </c:pt>
                <c:pt idx="6">
                  <c:v>2.7354831898060574</c:v>
                </c:pt>
                <c:pt idx="7">
                  <c:v>3.2677221499061542</c:v>
                </c:pt>
                <c:pt idx="8">
                  <c:v>3.060051957034041</c:v>
                </c:pt>
                <c:pt idx="9">
                  <c:v>2.4301685592936231</c:v>
                </c:pt>
                <c:pt idx="10">
                  <c:v>1.7096894686020452</c:v>
                </c:pt>
                <c:pt idx="11">
                  <c:v>1.0955407469660252</c:v>
                </c:pt>
                <c:pt idx="12">
                  <c:v>0.65167700835984799</c:v>
                </c:pt>
                <c:pt idx="13">
                  <c:v>0.36481259928981602</c:v>
                </c:pt>
                <c:pt idx="14">
                  <c:v>0.19416268931615763</c:v>
                </c:pt>
                <c:pt idx="15">
                  <c:v>9.9016604789584309E-2</c:v>
                </c:pt>
                <c:pt idx="16">
                  <c:v>4.8679850214245986E-2</c:v>
                </c:pt>
                <c:pt idx="17">
                  <c:v>2.3184936763754136E-2</c:v>
                </c:pt>
                <c:pt idx="18">
                  <c:v>1.0739751456713745E-2</c:v>
                </c:pt>
                <c:pt idx="19">
                  <c:v>4.85428442811858E-3</c:v>
                </c:pt>
                <c:pt idx="20">
                  <c:v>2.1467095972455556E-3</c:v>
                </c:pt>
                <c:pt idx="21">
                  <c:v>9.3095037867244653E-4</c:v>
                </c:pt>
                <c:pt idx="22">
                  <c:v>3.9666531403164404E-4</c:v>
                </c:pt>
                <c:pt idx="23">
                  <c:v>1.6633569859045153E-4</c:v>
                </c:pt>
                <c:pt idx="24">
                  <c:v>6.8743421533129612E-5</c:v>
                </c:pt>
                <c:pt idx="25">
                  <c:v>2.803503696509859E-5</c:v>
                </c:pt>
                <c:pt idx="26">
                  <c:v>1.1294522391158943E-5</c:v>
                </c:pt>
                <c:pt idx="27">
                  <c:v>4.4993233155481348E-6</c:v>
                </c:pt>
                <c:pt idx="28">
                  <c:v>1.773810098321614E-6</c:v>
                </c:pt>
                <c:pt idx="29">
                  <c:v>6.9258789136260121E-7</c:v>
                </c:pt>
                <c:pt idx="30">
                  <c:v>2.6800498926643025E-7</c:v>
                </c:pt>
                <c:pt idx="31">
                  <c:v>1.0284267533974733E-7</c:v>
                </c:pt>
                <c:pt idx="32">
                  <c:v>3.9156384653612947E-8</c:v>
                </c:pt>
                <c:pt idx="33">
                  <c:v>1.479939902095855E-8</c:v>
                </c:pt>
                <c:pt idx="34">
                  <c:v>5.5550955325613889E-9</c:v>
                </c:pt>
                <c:pt idx="35">
                  <c:v>2.0716728759254325E-9</c:v>
                </c:pt>
                <c:pt idx="36">
                  <c:v>7.6788089632454591E-10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F3-4F46-8AC3-C548BFB61E88}"/>
            </c:ext>
          </c:extLst>
        </c:ser>
        <c:ser>
          <c:idx val="3"/>
          <c:order val="3"/>
          <c:tx>
            <c:v>槽列モデル解析解N=26</c:v>
          </c:tx>
          <c:spPr>
            <a:ln w="6350">
              <a:noFill/>
              <a:prstDash val="dash"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解析解!$A$3:$A$23</c:f>
              <c:numCache>
                <c:formatCode>General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</c:numCache>
            </c:numRef>
          </c:xVal>
          <c:yVal>
            <c:numRef>
              <c:f>解析解!$B$3:$B$23</c:f>
              <c:numCache>
                <c:formatCode>0.00E+00</c:formatCode>
                <c:ptCount val="21"/>
                <c:pt idx="0" formatCode="General">
                  <c:v>0</c:v>
                </c:pt>
                <c:pt idx="1">
                  <c:v>2.9576262122424793E-15</c:v>
                </c:pt>
                <c:pt idx="2">
                  <c:v>7.3710189073873612E-9</c:v>
                </c:pt>
                <c:pt idx="3">
                  <c:v>1.3824306328980245E-5</c:v>
                </c:pt>
                <c:pt idx="4">
                  <c:v>1.3644138238715496E-3</c:v>
                </c:pt>
                <c:pt idx="5">
                  <c:v>2.6824447348498766E-2</c:v>
                </c:pt>
                <c:pt idx="6">
                  <c:v>0.19006243169336065</c:v>
                </c:pt>
                <c:pt idx="7">
                  <c:v>0.66588674380227353</c:v>
                </c:pt>
                <c:pt idx="8">
                  <c:v>1.393263919879802</c:v>
                </c:pt>
                <c:pt idx="9">
                  <c:v>1.9664404491449505</c:v>
                </c:pt>
                <c:pt idx="10">
                  <c:v>2.0344752458909148</c:v>
                </c:pt>
                <c:pt idx="11">
                  <c:v>1.6372081052844141</c:v>
                </c:pt>
                <c:pt idx="12">
                  <c:v>1.0706616705699274</c:v>
                </c:pt>
                <c:pt idx="13">
                  <c:v>0.58821928490266928</c:v>
                </c:pt>
                <c:pt idx="14">
                  <c:v>0.27860614441844017</c:v>
                </c:pt>
                <c:pt idx="15">
                  <c:v>0.11611962420662626</c:v>
                </c:pt>
                <c:pt idx="16">
                  <c:v>4.3297025233357857E-2</c:v>
                </c:pt>
                <c:pt idx="17">
                  <c:v>1.4639150439362168E-2</c:v>
                </c:pt>
                <c:pt idx="18">
                  <c:v>4.5387871226036857E-3</c:v>
                </c:pt>
                <c:pt idx="19">
                  <c:v>1.3025714569294676E-3</c:v>
                </c:pt>
                <c:pt idx="20">
                  <c:v>3.4877534111030483E-4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6F3-4F46-8AC3-C548BFB61E88}"/>
            </c:ext>
          </c:extLst>
        </c:ser>
        <c:ser>
          <c:idx val="4"/>
          <c:order val="4"/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'例題1.8 槽列モデルインパルス応答'!$AC$1:$AC$2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'例題1.8 槽列モデルインパルス応答'!$AD$1:$AD$2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F3-4F46-8AC3-C548BFB61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966848"/>
        <c:axId val="358965280"/>
      </c:scatterChart>
      <c:valAx>
        <c:axId val="35896684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l-GR" altLang="ja-JP" sz="1200"/>
                  <a:t>θ</a:t>
                </a:r>
              </a:p>
            </c:rich>
          </c:tx>
          <c:layout>
            <c:manualLayout>
              <c:xMode val="edge"/>
              <c:yMode val="edge"/>
              <c:x val="0.53638815981335675"/>
              <c:y val="0.8677042706110335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58965280"/>
        <c:crosses val="autoZero"/>
        <c:crossBetween val="midCat"/>
        <c:majorUnit val="1"/>
        <c:minorUnit val="0.5"/>
      </c:valAx>
      <c:valAx>
        <c:axId val="358965280"/>
        <c:scaling>
          <c:orientation val="minMax"/>
          <c:max val="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ＭＳ Ｐゴシック"/>
                    <a:cs typeface="Arial" panose="020B0604020202020204" pitchFamily="34" charset="0"/>
                  </a:defRPr>
                </a:pPr>
                <a:r>
                  <a:rPr lang="en-US" altLang="ja-JP" sz="1200">
                    <a:latin typeface="Arial" panose="020B0604020202020204" pitchFamily="34" charset="0"/>
                    <a:cs typeface="Arial" panose="020B0604020202020204" pitchFamily="34" charset="0"/>
                  </a:rPr>
                  <a:t>E</a:t>
                </a:r>
              </a:p>
            </c:rich>
          </c:tx>
          <c:layout>
            <c:manualLayout>
              <c:xMode val="edge"/>
              <c:yMode val="edge"/>
              <c:x val="3.5040281423155441E-2"/>
              <c:y val="0.3852139393790729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358966848"/>
        <c:crosses val="autoZero"/>
        <c:crossBetween val="midCat"/>
        <c:majorUnit val="1"/>
        <c:minorUnit val="0.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469127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53340</xdr:colOff>
      <xdr:row>21</xdr:row>
      <xdr:rowOff>30480</xdr:rowOff>
    </xdr:from>
    <xdr:to>
      <xdr:col>5</xdr:col>
      <xdr:colOff>449580</xdr:colOff>
      <xdr:row>37</xdr:row>
      <xdr:rowOff>38100</xdr:rowOff>
    </xdr:to>
    <xdr:graphicFrame macro="">
      <xdr:nvGraphicFramePr>
        <xdr:cNvPr id="1056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0.25422</cdr:x>
      <cdr:y>0.07806</cdr:y>
    </cdr:from>
    <cdr:to>
      <cdr:x>0.36967</cdr:x>
      <cdr:y>0.16876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57250" y="190500"/>
          <a:ext cx="4191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E5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0.34344</cdr:x>
      <cdr:y>0.30177</cdr:y>
    </cdr:from>
    <cdr:to>
      <cdr:x>0.45961</cdr:x>
      <cdr:y>0.39199</cdr:y>
    </cdr:to>
    <cdr:sp macro="" textlink="">
      <cdr:nvSpPr>
        <cdr:cNvPr id="3" name="テキスト ボックス 2"/>
        <cdr:cNvSpPr txBox="1"/>
      </cdr:nvSpPr>
      <cdr:spPr>
        <a:xfrm xmlns:a="http://schemas.openxmlformats.org/drawingml/2006/main">
          <a:off x="1181100" y="733425"/>
          <a:ext cx="4191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E10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0.44959</cdr:x>
      <cdr:y>0.56853</cdr:y>
    </cdr:from>
    <cdr:to>
      <cdr:x>0.56504</cdr:x>
      <cdr:y>0.65875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1536568" y="1378574"/>
          <a:ext cx="394577" cy="21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E26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0.42982</cdr:x>
      <cdr:y>0.63487</cdr:y>
    </cdr:from>
    <cdr:to>
      <cdr:x>0.57959</cdr:x>
      <cdr:y>0.74867</cdr:y>
    </cdr:to>
    <cdr:sp macro="" textlink="">
      <cdr:nvSpPr>
        <cdr:cNvPr id="5" name="テキスト ボックス 4"/>
        <cdr:cNvSpPr txBox="1"/>
      </cdr:nvSpPr>
      <cdr:spPr>
        <a:xfrm xmlns:a="http://schemas.openxmlformats.org/drawingml/2006/main">
          <a:off x="1468997" y="1539455"/>
          <a:ext cx="511874" cy="275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(</a:t>
          </a:r>
          <a:r>
            <a:rPr lang="ja-JP" altLang="en-US" sz="1100">
              <a:latin typeface="Arial" panose="020B0604020202020204" pitchFamily="34" charset="0"/>
              <a:cs typeface="Arial" panose="020B0604020202020204" pitchFamily="34" charset="0"/>
            </a:rPr>
            <a:t>出口</a:t>
          </a:r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)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0.5986</cdr:x>
      <cdr:y>0.33314</cdr:y>
    </cdr:from>
    <cdr:to>
      <cdr:x>0.86626</cdr:x>
      <cdr:y>0.44281</cdr:y>
    </cdr:to>
    <cdr:sp macro="" textlink="">
      <cdr:nvSpPr>
        <cdr:cNvPr id="6" name="テキスト ボックス 5"/>
        <cdr:cNvSpPr txBox="1"/>
      </cdr:nvSpPr>
      <cdr:spPr>
        <a:xfrm xmlns:a="http://schemas.openxmlformats.org/drawingml/2006/main">
          <a:off x="2105024" y="809625"/>
          <a:ext cx="97155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+</a:t>
          </a:r>
          <a:r>
            <a:rPr lang="ja-JP" altLang="en-US" sz="1100">
              <a:latin typeface="Arial" panose="020B0604020202020204" pitchFamily="34" charset="0"/>
              <a:cs typeface="Arial" panose="020B0604020202020204" pitchFamily="34" charset="0"/>
            </a:rPr>
            <a:t>解析解</a:t>
          </a:r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(N=26)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0.63999</cdr:x>
      <cdr:y>0.43614</cdr:y>
    </cdr:from>
    <cdr:to>
      <cdr:x>0.71296</cdr:x>
      <cdr:y>0.60388</cdr:y>
    </cdr:to>
    <cdr:sp macro="" textlink="">
      <cdr:nvSpPr>
        <cdr:cNvPr id="7" name="フリーフォーム 6"/>
        <cdr:cNvSpPr/>
      </cdr:nvSpPr>
      <cdr:spPr>
        <a:xfrm xmlns:a="http://schemas.openxmlformats.org/drawingml/2006/main">
          <a:off x="2106754" y="1066800"/>
          <a:ext cx="240206" cy="410303"/>
        </a:xfrm>
        <a:custGeom xmlns:a="http://schemas.openxmlformats.org/drawingml/2006/main">
          <a:avLst/>
          <a:gdLst>
            <a:gd name="connsiteX0" fmla="*/ 0 w 219075"/>
            <a:gd name="connsiteY0" fmla="*/ 266700 h 266700"/>
            <a:gd name="connsiteX1" fmla="*/ 219075 w 219075"/>
            <a:gd name="connsiteY1" fmla="*/ 0 h 2667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219075" h="266700">
              <a:moveTo>
                <a:pt x="0" y="266700"/>
              </a:moveTo>
              <a:lnTo>
                <a:pt x="219075" y="0"/>
              </a:lnTo>
            </a:path>
          </a:pathLst>
        </a:custGeom>
        <a:noFill xmlns:a="http://schemas.openxmlformats.org/drawingml/2006/main"/>
        <a:ln xmlns:a="http://schemas.openxmlformats.org/drawingml/2006/main" w="6350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0.54767</cdr:x>
      <cdr:y>0.05276</cdr:y>
    </cdr:from>
    <cdr:to>
      <cdr:x>0.81533</cdr:x>
      <cdr:y>0.16243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1802847" y="129058"/>
          <a:ext cx="881099" cy="268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000">
              <a:latin typeface="Arial" panose="020B0604020202020204" pitchFamily="34" charset="0"/>
              <a:cs typeface="Arial" panose="020B0604020202020204" pitchFamily="34" charset="0"/>
            </a:rPr>
            <a:t>平均滞留時間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1915"/>
  <sheetViews>
    <sheetView tabSelected="1" workbookViewId="0">
      <selection activeCell="F9" sqref="F9"/>
    </sheetView>
  </sheetViews>
  <sheetFormatPr defaultColWidth="12" defaultRowHeight="11.9" x14ac:dyDescent="0.15"/>
  <cols>
    <col min="1" max="1" width="15.140625" style="2" customWidth="1"/>
    <col min="2" max="2" width="12.140625" style="1" customWidth="1"/>
    <col min="3" max="3" width="11" style="1" customWidth="1"/>
    <col min="4" max="5" width="8" style="1" customWidth="1"/>
    <col min="6" max="6" width="9.140625" style="1" customWidth="1"/>
    <col min="7" max="11" width="8" style="1" customWidth="1"/>
    <col min="12" max="27" width="7.7109375" style="1" customWidth="1"/>
    <col min="28" max="16384" width="12" style="1"/>
  </cols>
  <sheetData>
    <row r="1" spans="1:30" ht="12.55" thickBot="1" x14ac:dyDescent="0.2">
      <c r="A1" s="2" t="s">
        <v>1</v>
      </c>
      <c r="B1" s="7">
        <f>E1</f>
        <v>26</v>
      </c>
      <c r="D1" s="8" t="s">
        <v>20</v>
      </c>
      <c r="E1" s="1">
        <v>26</v>
      </c>
      <c r="L1" s="15"/>
      <c r="AC1" s="1">
        <v>1</v>
      </c>
      <c r="AD1" s="1">
        <v>0</v>
      </c>
    </row>
    <row r="2" spans="1:30" x14ac:dyDescent="0.15">
      <c r="A2" s="2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21</v>
      </c>
      <c r="G2" s="1" t="s">
        <v>22</v>
      </c>
      <c r="H2" s="1" t="s">
        <v>23</v>
      </c>
      <c r="I2" s="1" t="s">
        <v>24</v>
      </c>
      <c r="J2" s="1" t="s">
        <v>25</v>
      </c>
      <c r="K2" s="1" t="s">
        <v>26</v>
      </c>
      <c r="L2" s="1" t="s">
        <v>39</v>
      </c>
      <c r="M2" s="1" t="s">
        <v>40</v>
      </c>
      <c r="N2" s="1" t="s">
        <v>41</v>
      </c>
      <c r="O2" s="1" t="s">
        <v>42</v>
      </c>
      <c r="P2" s="1" t="s">
        <v>43</v>
      </c>
      <c r="Q2" s="1" t="s">
        <v>44</v>
      </c>
      <c r="R2" s="1" t="s">
        <v>45</v>
      </c>
      <c r="S2" s="1" t="s">
        <v>46</v>
      </c>
      <c r="T2" s="1" t="s">
        <v>47</v>
      </c>
      <c r="U2" s="1" t="s">
        <v>48</v>
      </c>
      <c r="V2" s="1" t="s">
        <v>49</v>
      </c>
      <c r="W2" s="1" t="s">
        <v>50</v>
      </c>
      <c r="X2" s="1" t="s">
        <v>51</v>
      </c>
      <c r="Y2" s="1" t="s">
        <v>52</v>
      </c>
      <c r="Z2" s="1" t="s">
        <v>53</v>
      </c>
      <c r="AA2" s="1" t="s">
        <v>54</v>
      </c>
      <c r="AC2" s="1">
        <v>1</v>
      </c>
      <c r="AD2" s="1">
        <v>5</v>
      </c>
    </row>
    <row r="3" spans="1:30" x14ac:dyDescent="0.15">
      <c r="A3" s="2">
        <v>2.4999999999999951</v>
      </c>
      <c r="B3" s="1">
        <v>-1.855033647980298E-27</v>
      </c>
      <c r="C3" s="1">
        <v>4.7802954663327809E-25</v>
      </c>
      <c r="D3" s="1">
        <v>1.9177298487150898E-23</v>
      </c>
      <c r="E3" s="1">
        <v>4.0030433821980162E-22</v>
      </c>
      <c r="F3" s="1">
        <v>5.8439181246468044E-21</v>
      </c>
      <c r="G3" s="1">
        <v>6.6732762750356689E-20</v>
      </c>
      <c r="H3" s="1">
        <v>6.3194400469407346E-19</v>
      </c>
      <c r="I3" s="1">
        <v>5.144027332948258E-18</v>
      </c>
      <c r="J3" s="1">
        <v>3.6872945459734831E-17</v>
      </c>
      <c r="K3" s="1">
        <v>2.3682574137674482E-16</v>
      </c>
      <c r="L3" s="1">
        <v>1.3807950372440939E-15</v>
      </c>
      <c r="M3" s="1">
        <v>7.3826725318976136E-15</v>
      </c>
      <c r="N3" s="1">
        <v>3.6492353181066477E-14</v>
      </c>
      <c r="O3" s="1">
        <v>1.6786830444781336E-13</v>
      </c>
      <c r="P3" s="1">
        <v>7.226106288706445E-13</v>
      </c>
      <c r="Q3" s="1">
        <v>2.9243304855013885E-12</v>
      </c>
      <c r="R3" s="1">
        <v>1.1170180359535933E-11</v>
      </c>
      <c r="S3" s="1">
        <v>4.0410770573938969E-11</v>
      </c>
      <c r="T3" s="1">
        <v>1.3887994316565095E-10</v>
      </c>
      <c r="U3" s="1">
        <v>4.5460494979109501E-10</v>
      </c>
      <c r="V3" s="1">
        <v>1.420687987005367E-9</v>
      </c>
      <c r="W3" s="1">
        <v>4.2475901584199826E-9</v>
      </c>
      <c r="X3" s="1">
        <v>1.2172609825720679E-8</v>
      </c>
      <c r="Y3" s="1">
        <v>3.3493595180452232E-8</v>
      </c>
      <c r="Z3" s="1">
        <v>8.8623632256960681E-8</v>
      </c>
      <c r="AA3" s="1">
        <v>2.2581973073067595E-7</v>
      </c>
    </row>
    <row r="4" spans="1:30" ht="12.55" thickBot="1" x14ac:dyDescent="0.2">
      <c r="B4" s="10" t="s">
        <v>11</v>
      </c>
      <c r="C4" s="10" t="s">
        <v>12</v>
      </c>
      <c r="D4" s="10" t="s">
        <v>13</v>
      </c>
      <c r="E4" s="10" t="s">
        <v>14</v>
      </c>
      <c r="F4" s="10" t="s">
        <v>27</v>
      </c>
      <c r="G4" s="10" t="s">
        <v>28</v>
      </c>
      <c r="H4" s="10" t="s">
        <v>29</v>
      </c>
      <c r="I4" s="10" t="s">
        <v>30</v>
      </c>
      <c r="J4" s="10" t="s">
        <v>31</v>
      </c>
      <c r="K4" s="10" t="s">
        <v>32</v>
      </c>
      <c r="L4" s="10" t="s">
        <v>55</v>
      </c>
      <c r="M4" s="10" t="s">
        <v>56</v>
      </c>
      <c r="N4" s="10" t="s">
        <v>57</v>
      </c>
      <c r="O4" s="10" t="s">
        <v>58</v>
      </c>
      <c r="P4" s="10" t="s">
        <v>59</v>
      </c>
      <c r="Q4" s="10" t="s">
        <v>60</v>
      </c>
      <c r="R4" s="10" t="s">
        <v>61</v>
      </c>
      <c r="S4" s="10" t="s">
        <v>62</v>
      </c>
      <c r="T4" s="10" t="s">
        <v>63</v>
      </c>
      <c r="U4" s="10" t="s">
        <v>64</v>
      </c>
      <c r="V4" s="10" t="s">
        <v>65</v>
      </c>
      <c r="W4" s="10" t="s">
        <v>66</v>
      </c>
      <c r="X4" s="10" t="s">
        <v>67</v>
      </c>
      <c r="Y4" s="10" t="s">
        <v>68</v>
      </c>
      <c r="Z4" s="10" t="s">
        <v>69</v>
      </c>
      <c r="AA4" s="10" t="s">
        <v>70</v>
      </c>
    </row>
    <row r="5" spans="1:30" ht="12.55" thickBot="1" x14ac:dyDescent="0.2">
      <c r="A5" s="2" t="s">
        <v>2</v>
      </c>
      <c r="B5" s="16">
        <f>$E$1*(0-B3)</f>
        <v>4.8230874847487747E-26</v>
      </c>
      <c r="C5" s="17">
        <f>$E$1*(B3-C3)</f>
        <v>-1.2476999087312718E-23</v>
      </c>
      <c r="D5" s="17">
        <f>$E$1*(C3-D3)</f>
        <v>-4.8618099245345816E-22</v>
      </c>
      <c r="E5" s="18">
        <f>$E$1*(D3-E3)</f>
        <v>-9.9093030330489186E-21</v>
      </c>
      <c r="F5" s="18">
        <f t="shared" ref="F5:AA5" si="0">$E$1*(E3-F3)</f>
        <v>-1.4153395844710206E-19</v>
      </c>
      <c r="G5" s="18">
        <f t="shared" si="0"/>
        <v>-1.5831099602684568E-18</v>
      </c>
      <c r="H5" s="18">
        <f t="shared" si="0"/>
        <v>-1.4695492290536637E-17</v>
      </c>
      <c r="I5" s="18">
        <f t="shared" si="0"/>
        <v>-1.173141665346088E-16</v>
      </c>
      <c r="J5" s="18">
        <f t="shared" si="0"/>
        <v>-8.2495187129645087E-16</v>
      </c>
      <c r="K5" s="18">
        <f t="shared" si="0"/>
        <v>-5.19877269384226E-15</v>
      </c>
      <c r="L5" s="18">
        <f t="shared" si="0"/>
        <v>-2.9743201692551079E-14</v>
      </c>
      <c r="M5" s="18">
        <f t="shared" si="0"/>
        <v>-1.5604881486099152E-13</v>
      </c>
      <c r="N5" s="18">
        <f t="shared" si="0"/>
        <v>-7.5685169687839043E-13</v>
      </c>
      <c r="O5" s="18">
        <f t="shared" si="0"/>
        <v>-3.4157747329354191E-12</v>
      </c>
      <c r="P5" s="18">
        <f t="shared" si="0"/>
        <v>-1.442330043499361E-11</v>
      </c>
      <c r="Q5" s="18">
        <f t="shared" si="0"/>
        <v>-5.7244716272399341E-11</v>
      </c>
      <c r="R5" s="18">
        <f t="shared" si="0"/>
        <v>-2.1439209672489817E-10</v>
      </c>
      <c r="S5" s="18">
        <f t="shared" si="0"/>
        <v>-7.6025534557447897E-10</v>
      </c>
      <c r="T5" s="18">
        <f t="shared" si="0"/>
        <v>-2.5601984873845116E-9</v>
      </c>
      <c r="U5" s="18">
        <f t="shared" si="0"/>
        <v>-8.2088501722615449E-9</v>
      </c>
      <c r="V5" s="18">
        <f t="shared" si="0"/>
        <v>-2.511815896757107E-8</v>
      </c>
      <c r="W5" s="18">
        <f t="shared" si="0"/>
        <v>-7.3499456456780002E-8</v>
      </c>
      <c r="X5" s="18">
        <f t="shared" si="0"/>
        <v>-2.0605051134981809E-7</v>
      </c>
      <c r="Y5" s="18">
        <f t="shared" si="0"/>
        <v>-5.5434561922302041E-7</v>
      </c>
      <c r="Z5" s="18">
        <f t="shared" si="0"/>
        <v>-1.4333809639892197E-6</v>
      </c>
      <c r="AA5" s="18">
        <f t="shared" si="0"/>
        <v>-3.5670985603165968E-6</v>
      </c>
    </row>
    <row r="6" spans="1:30" ht="12.55" thickBot="1" x14ac:dyDescent="0.2">
      <c r="F6" s="8"/>
      <c r="G6" s="9"/>
    </row>
    <row r="7" spans="1:30" x14ac:dyDescent="0.15">
      <c r="A7" s="2" t="s">
        <v>4</v>
      </c>
      <c r="B7" s="4">
        <v>0</v>
      </c>
      <c r="F7" s="8"/>
    </row>
    <row r="8" spans="1:30" x14ac:dyDescent="0.15">
      <c r="A8" s="3" t="s">
        <v>0</v>
      </c>
      <c r="B8" s="5">
        <v>2.5</v>
      </c>
      <c r="F8" s="8"/>
      <c r="G8" s="11"/>
    </row>
    <row r="9" spans="1:30" ht="12.55" thickBot="1" x14ac:dyDescent="0.2">
      <c r="A9" s="2" t="s">
        <v>5</v>
      </c>
      <c r="B9" s="6">
        <v>0.05</v>
      </c>
      <c r="F9" s="14"/>
      <c r="G9" s="13"/>
    </row>
    <row r="10" spans="1:30" x14ac:dyDescent="0.15">
      <c r="A10" s="2" t="s">
        <v>3</v>
      </c>
    </row>
    <row r="11" spans="1:30" ht="12.55" thickBot="1" x14ac:dyDescent="0.2">
      <c r="A11" s="2" t="s">
        <v>15</v>
      </c>
      <c r="B11" s="13" t="s">
        <v>16</v>
      </c>
      <c r="C11" s="13" t="s">
        <v>17</v>
      </c>
      <c r="D11" s="13" t="s">
        <v>18</v>
      </c>
      <c r="E11" s="13" t="s">
        <v>19</v>
      </c>
      <c r="F11" s="13" t="s">
        <v>33</v>
      </c>
      <c r="G11" s="13" t="s">
        <v>34</v>
      </c>
      <c r="H11" s="13" t="s">
        <v>35</v>
      </c>
      <c r="I11" s="13" t="s">
        <v>36</v>
      </c>
      <c r="J11" s="13" t="s">
        <v>37</v>
      </c>
      <c r="K11" s="13" t="s">
        <v>38</v>
      </c>
      <c r="L11" s="13" t="s">
        <v>71</v>
      </c>
      <c r="M11" s="13" t="s">
        <v>72</v>
      </c>
      <c r="N11" s="13" t="s">
        <v>73</v>
      </c>
      <c r="O11" s="13" t="s">
        <v>74</v>
      </c>
      <c r="P11" s="13" t="s">
        <v>75</v>
      </c>
      <c r="Q11" s="13" t="s">
        <v>76</v>
      </c>
      <c r="R11" s="13" t="s">
        <v>77</v>
      </c>
      <c r="S11" s="13" t="s">
        <v>78</v>
      </c>
      <c r="T11" s="13" t="s">
        <v>79</v>
      </c>
      <c r="U11" s="13" t="s">
        <v>80</v>
      </c>
      <c r="V11" s="13" t="s">
        <v>81</v>
      </c>
      <c r="W11" s="13" t="s">
        <v>82</v>
      </c>
      <c r="X11" s="13" t="s">
        <v>83</v>
      </c>
      <c r="Y11" s="13" t="s">
        <v>84</v>
      </c>
      <c r="Z11" s="13" t="s">
        <v>85</v>
      </c>
      <c r="AA11" s="13" t="s">
        <v>86</v>
      </c>
    </row>
    <row r="12" spans="1:30" ht="12.55" thickBot="1" x14ac:dyDescent="0.2">
      <c r="A12" s="2">
        <v>0</v>
      </c>
      <c r="B12" s="21">
        <f>E1</f>
        <v>26</v>
      </c>
      <c r="C12" s="22">
        <v>0</v>
      </c>
      <c r="D12" s="22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  <c r="R12" s="23">
        <v>0</v>
      </c>
      <c r="S12" s="23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</row>
    <row r="13" spans="1:30" x14ac:dyDescent="0.15">
      <c r="A13" s="2">
        <v>0.05</v>
      </c>
      <c r="B13" s="24">
        <v>7.7437749999999994</v>
      </c>
      <c r="C13" s="24">
        <v>6.0445666666666655</v>
      </c>
      <c r="D13" s="24">
        <v>11.973650000000001</v>
      </c>
      <c r="E13" s="24">
        <v>-2.8561000000000032</v>
      </c>
      <c r="F13" s="24">
        <v>3.0941083333333341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</row>
    <row r="14" spans="1:30" x14ac:dyDescent="0.15">
      <c r="A14" s="2">
        <v>0.1</v>
      </c>
      <c r="B14" s="24">
        <v>2.3063865865624997</v>
      </c>
      <c r="C14" s="24">
        <v>3.600597249166666</v>
      </c>
      <c r="D14" s="24">
        <v>8.5376649709722212</v>
      </c>
      <c r="E14" s="24">
        <v>3.8660407608333331</v>
      </c>
      <c r="F14" s="24">
        <v>6.0292568510416675</v>
      </c>
      <c r="G14" s="24">
        <v>-1.1919536669444468</v>
      </c>
      <c r="H14" s="24">
        <v>3.1635710654166687</v>
      </c>
      <c r="I14" s="24">
        <v>-0.6797756008333341</v>
      </c>
      <c r="J14" s="24">
        <v>0.36821178378472236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</row>
    <row r="15" spans="1:30" x14ac:dyDescent="0.15">
      <c r="A15" s="2">
        <v>0.15</v>
      </c>
      <c r="B15" s="24">
        <v>0.68692841497530854</v>
      </c>
      <c r="C15" s="24">
        <v>1.6085893247980152</v>
      </c>
      <c r="D15" s="24">
        <v>4.4420643240457309</v>
      </c>
      <c r="E15" s="24">
        <v>4.541125208078145</v>
      </c>
      <c r="F15" s="24">
        <v>6.5052809969342649</v>
      </c>
      <c r="G15" s="24">
        <v>2.3177252294352799</v>
      </c>
      <c r="H15" s="24">
        <v>4.0330773744240656</v>
      </c>
      <c r="I15" s="24">
        <v>-0.21814848750242793</v>
      </c>
      <c r="J15" s="24">
        <v>2.2569771419449434</v>
      </c>
      <c r="K15" s="24">
        <v>-0.71681629008290904</v>
      </c>
      <c r="L15" s="24">
        <v>0.62072221980969056</v>
      </c>
      <c r="M15" s="24">
        <v>-0.12134419334625535</v>
      </c>
      <c r="N15" s="24">
        <v>4.381873648614773E-2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</row>
    <row r="16" spans="1:30" x14ac:dyDescent="0.15">
      <c r="A16" s="2">
        <v>0.19999999999999998</v>
      </c>
      <c r="B16" s="24">
        <v>0.20459304179520849</v>
      </c>
      <c r="C16" s="24">
        <v>0.63879763069937179</v>
      </c>
      <c r="D16" s="24">
        <v>2.013331249612933</v>
      </c>
      <c r="E16" s="24">
        <v>3.0505598125137743</v>
      </c>
      <c r="F16" s="24">
        <v>4.9439780334683325</v>
      </c>
      <c r="G16" s="24">
        <v>3.9974446510194452</v>
      </c>
      <c r="H16" s="24">
        <v>4.7656602597634672</v>
      </c>
      <c r="I16" s="24">
        <v>1.7658285863396361</v>
      </c>
      <c r="J16" s="24">
        <v>2.9983829273536804</v>
      </c>
      <c r="K16" s="24">
        <v>4.3537375122646771E-2</v>
      </c>
      <c r="L16" s="24">
        <v>1.5615375353283212</v>
      </c>
      <c r="M16" s="24">
        <v>-0.4958346204482465</v>
      </c>
      <c r="N16" s="24">
        <v>0.61803041408474957</v>
      </c>
      <c r="O16" s="24">
        <v>-0.19918536982053239</v>
      </c>
      <c r="P16" s="24">
        <v>0.10737781375930507</v>
      </c>
      <c r="Q16" s="24">
        <v>-1.9253952812013326E-2</v>
      </c>
      <c r="R16" s="24">
        <v>5.2146122199202734E-3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</row>
    <row r="17" spans="1:27" x14ac:dyDescent="0.15">
      <c r="A17" s="2">
        <v>0.24999999999999997</v>
      </c>
      <c r="B17" s="24">
        <v>6.0935480085680394E-2</v>
      </c>
      <c r="C17" s="24">
        <v>0.23782236166678017</v>
      </c>
      <c r="D17" s="24">
        <v>0.8423755591397557</v>
      </c>
      <c r="E17" s="24">
        <v>1.6483448014103759</v>
      </c>
      <c r="F17" s="24">
        <v>3.0630712497293429</v>
      </c>
      <c r="G17" s="24">
        <v>3.5996956139934455</v>
      </c>
      <c r="H17" s="24">
        <v>4.5300478909443171</v>
      </c>
      <c r="I17" s="24">
        <v>3.2947230935972001</v>
      </c>
      <c r="J17" s="24">
        <v>3.6474969730775171</v>
      </c>
      <c r="K17" s="24">
        <v>1.4754541202037701</v>
      </c>
      <c r="L17" s="24">
        <v>2.2291936050111918</v>
      </c>
      <c r="M17" s="24">
        <v>0.11617195207257275</v>
      </c>
      <c r="N17" s="24">
        <v>1.139963902528228</v>
      </c>
      <c r="O17" s="24">
        <v>-0.31034110960854022</v>
      </c>
      <c r="P17" s="24">
        <v>0.5105892234915137</v>
      </c>
      <c r="Q17" s="24">
        <v>-0.19939786633657594</v>
      </c>
      <c r="R17" s="24">
        <v>0.141955758896571</v>
      </c>
      <c r="S17" s="24">
        <v>-4.3153957976968582E-2</v>
      </c>
      <c r="T17" s="24">
        <v>1.7294913253893086E-2</v>
      </c>
      <c r="U17" s="24">
        <v>-2.8641257617912121E-3</v>
      </c>
      <c r="V17" s="24">
        <v>6.2056058172142887E-4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</row>
    <row r="18" spans="1:27" x14ac:dyDescent="0.15">
      <c r="A18" s="2">
        <v>0.3</v>
      </c>
      <c r="B18" s="24">
        <v>1.8148871050018833E-2</v>
      </c>
      <c r="C18" s="24">
        <v>8.4998901171515567E-2</v>
      </c>
      <c r="D18" s="24">
        <v>0.33424307794324348</v>
      </c>
      <c r="E18" s="24">
        <v>0.78960655331658558</v>
      </c>
      <c r="F18" s="24">
        <v>1.6645719712275886</v>
      </c>
      <c r="G18" s="24">
        <v>2.4791082432702147</v>
      </c>
      <c r="H18" s="24">
        <v>3.5158837863281747</v>
      </c>
      <c r="I18" s="24">
        <v>3.5518840685583646</v>
      </c>
      <c r="J18" s="24">
        <v>3.9076215702233812</v>
      </c>
      <c r="K18" s="24">
        <v>2.7354831898060574</v>
      </c>
      <c r="L18" s="24">
        <v>2.8638887282946848</v>
      </c>
      <c r="M18" s="24">
        <v>1.2237424660789995</v>
      </c>
      <c r="N18" s="24">
        <v>1.6651201290205973</v>
      </c>
      <c r="O18" s="24">
        <v>0.15679974645389549</v>
      </c>
      <c r="P18" s="24">
        <v>0.85742719679915447</v>
      </c>
      <c r="Q18" s="24">
        <v>-0.1950046052223969</v>
      </c>
      <c r="R18" s="24">
        <v>0.4008135950042564</v>
      </c>
      <c r="S18" s="24">
        <v>-0.164698332671395</v>
      </c>
      <c r="T18" s="24">
        <v>0.14315877426274845</v>
      </c>
      <c r="U18" s="24">
        <v>-5.6028758504228962E-2</v>
      </c>
      <c r="V18" s="24">
        <v>2.9117493709111167E-2</v>
      </c>
      <c r="W18" s="24">
        <v>-8.2100785522326841E-3</v>
      </c>
      <c r="X18" s="24">
        <v>2.6585746161818611E-3</v>
      </c>
      <c r="Y18" s="24">
        <v>-4.0901147941259413E-4</v>
      </c>
      <c r="Z18" s="24">
        <v>7.3849294893940542E-5</v>
      </c>
      <c r="AA18" s="24">
        <v>0</v>
      </c>
    </row>
    <row r="19" spans="1:27" x14ac:dyDescent="0.15">
      <c r="A19" s="2">
        <v>0.35000000000000003</v>
      </c>
      <c r="B19" s="24">
        <v>5.4054143813599825E-3</v>
      </c>
      <c r="C19" s="24">
        <v>2.953517026561648E-2</v>
      </c>
      <c r="D19" s="24">
        <v>0.12766895944125523</v>
      </c>
      <c r="E19" s="24">
        <v>0.35003085220443453</v>
      </c>
      <c r="F19" s="24">
        <v>0.82609227346875047</v>
      </c>
      <c r="G19" s="24">
        <v>1.4623888211047733</v>
      </c>
      <c r="H19" s="24">
        <v>2.3431284314226173</v>
      </c>
      <c r="I19" s="24">
        <v>2.9280732160920913</v>
      </c>
      <c r="J19" s="24">
        <v>3.5345034277615959</v>
      </c>
      <c r="K19" s="24">
        <v>3.2677221499061542</v>
      </c>
      <c r="L19" s="24">
        <v>3.3167154881416954</v>
      </c>
      <c r="M19" s="24">
        <v>2.2834779647623069</v>
      </c>
      <c r="N19" s="24">
        <v>2.2638577208936108</v>
      </c>
      <c r="O19" s="24">
        <v>1.0083132423010057</v>
      </c>
      <c r="P19" s="24">
        <v>1.2650433295032928</v>
      </c>
      <c r="Q19" s="24">
        <v>0.17618505814770816</v>
      </c>
      <c r="R19" s="24">
        <v>0.64984043947658576</v>
      </c>
      <c r="S19" s="24">
        <v>-0.12120390927325142</v>
      </c>
      <c r="T19" s="24">
        <v>0.31239177981102811</v>
      </c>
      <c r="U19" s="24">
        <v>-0.12648886992985081</v>
      </c>
      <c r="V19" s="24">
        <v>0.12736532321645322</v>
      </c>
      <c r="W19" s="24">
        <v>-5.6804360468865861E-2</v>
      </c>
      <c r="X19" s="24">
        <v>3.5483700332733306E-2</v>
      </c>
      <c r="Y19" s="24">
        <v>-1.3150903492190702E-2</v>
      </c>
      <c r="Z19" s="24">
        <v>5.518227015617134E-3</v>
      </c>
      <c r="AA19" s="24">
        <v>-1.4402692592791269E-3</v>
      </c>
    </row>
    <row r="20" spans="1:27" x14ac:dyDescent="0.15">
      <c r="A20" s="2">
        <v>0.40000000000000008</v>
      </c>
      <c r="B20" s="24">
        <v>1.6099351058083034E-3</v>
      </c>
      <c r="C20" s="24">
        <v>1.0053350027412054E-2</v>
      </c>
      <c r="D20" s="24">
        <v>4.7380366999478729E-2</v>
      </c>
      <c r="E20" s="24">
        <v>0.14694111871432003</v>
      </c>
      <c r="F20" s="24">
        <v>0.38361117271619116</v>
      </c>
      <c r="G20" s="24">
        <v>0.77829524722436272</v>
      </c>
      <c r="H20" s="24">
        <v>1.3950309352057211</v>
      </c>
      <c r="I20" s="24">
        <v>2.0412038201360083</v>
      </c>
      <c r="J20" s="24">
        <v>2.7501701176635494</v>
      </c>
      <c r="K20" s="24">
        <v>3.060051957034041</v>
      </c>
      <c r="L20" s="24">
        <v>3.332453581673366</v>
      </c>
      <c r="M20" s="24">
        <v>2.9162418952973153</v>
      </c>
      <c r="N20" s="24">
        <v>2.7942240497983164</v>
      </c>
      <c r="O20" s="24">
        <v>1.9027527291471618</v>
      </c>
      <c r="P20" s="24">
        <v>1.7976193514873358</v>
      </c>
      <c r="Q20" s="24">
        <v>0.83398808487883369</v>
      </c>
      <c r="R20" s="24">
        <v>0.97573631267389604</v>
      </c>
      <c r="S20" s="24">
        <v>0.1771440934726754</v>
      </c>
      <c r="T20" s="24">
        <v>0.49532336485578432</v>
      </c>
      <c r="U20" s="24">
        <v>-7.1282893091912325E-2</v>
      </c>
      <c r="V20" s="24">
        <v>0.24303980913997419</v>
      </c>
      <c r="W20" s="24">
        <v>-9.4299447875198977E-2</v>
      </c>
      <c r="X20" s="24">
        <v>0.10708795079415975</v>
      </c>
      <c r="Y20" s="24">
        <v>-5.0871074705362521E-2</v>
      </c>
      <c r="Z20" s="24">
        <v>3.6324263303395998E-2</v>
      </c>
      <c r="AA20" s="24">
        <v>-1.5860230277752026E-2</v>
      </c>
    </row>
    <row r="21" spans="1:27" x14ac:dyDescent="0.15">
      <c r="A21" s="2">
        <v>0.45000000000000012</v>
      </c>
      <c r="B21" s="24">
        <v>4.7949904707618061E-4</v>
      </c>
      <c r="C21" s="24">
        <v>3.3685477186380054E-3</v>
      </c>
      <c r="D21" s="24">
        <v>1.7190301746349126E-2</v>
      </c>
      <c r="E21" s="24">
        <v>5.9232688749672649E-2</v>
      </c>
      <c r="F21" s="24">
        <v>0.1693222257338706</v>
      </c>
      <c r="G21" s="24">
        <v>0.38465043075539529</v>
      </c>
      <c r="H21" s="24">
        <v>0.76259271407203411</v>
      </c>
      <c r="I21" s="24">
        <v>1.2660398214862933</v>
      </c>
      <c r="J21" s="24">
        <v>1.8962518769987016</v>
      </c>
      <c r="K21" s="24">
        <v>2.4301685592936231</v>
      </c>
      <c r="L21" s="24">
        <v>2.9122510704895483</v>
      </c>
      <c r="M21" s="24">
        <v>2.9933421120365069</v>
      </c>
      <c r="N21" s="24">
        <v>3.0360155233209003</v>
      </c>
      <c r="O21" s="24">
        <v>2.5574128431331618</v>
      </c>
      <c r="P21" s="24">
        <v>2.3407934703571858</v>
      </c>
      <c r="Q21" s="24">
        <v>1.5826740903968095</v>
      </c>
      <c r="R21" s="24">
        <v>1.4358547630320224</v>
      </c>
      <c r="S21" s="24">
        <v>0.69264196429729585</v>
      </c>
      <c r="T21" s="24">
        <v>0.76037048918890415</v>
      </c>
      <c r="U21" s="24">
        <v>0.16756641501850431</v>
      </c>
      <c r="V21" s="24">
        <v>0.38058048526747557</v>
      </c>
      <c r="W21" s="24">
        <v>-3.7741147591894314E-2</v>
      </c>
      <c r="X21" s="24">
        <v>0.18867363574666152</v>
      </c>
      <c r="Y21" s="24">
        <v>-6.8863287508840493E-2</v>
      </c>
      <c r="Z21" s="24">
        <v>8.7590273595972906E-2</v>
      </c>
      <c r="AA21" s="24">
        <v>-4.2692025806639167E-2</v>
      </c>
    </row>
    <row r="22" spans="1:27" x14ac:dyDescent="0.15">
      <c r="A22" s="2">
        <v>0.50000000000000011</v>
      </c>
      <c r="B22" s="24">
        <v>1.4281279743355194E-4</v>
      </c>
      <c r="C22" s="24">
        <v>1.1147553679442738E-3</v>
      </c>
      <c r="D22" s="24">
        <v>6.1238689971543758E-3</v>
      </c>
      <c r="E22" s="24">
        <v>2.3136802054282139E-2</v>
      </c>
      <c r="F22" s="24">
        <v>7.1804712459191219E-2</v>
      </c>
      <c r="G22" s="24">
        <v>0.17971856866987937</v>
      </c>
      <c r="H22" s="24">
        <v>0.3900696464685583</v>
      </c>
      <c r="I22" s="24">
        <v>0.71995426136594742</v>
      </c>
      <c r="J22" s="24">
        <v>1.1881972864486205</v>
      </c>
      <c r="K22" s="24">
        <v>1.7096894686020452</v>
      </c>
      <c r="L22" s="24">
        <v>2.2572998971421483</v>
      </c>
      <c r="M22" s="24">
        <v>2.630093488667832</v>
      </c>
      <c r="N22" s="24">
        <v>2.9000137078515036</v>
      </c>
      <c r="O22" s="24">
        <v>2.8153147368906675</v>
      </c>
      <c r="P22" s="24">
        <v>2.7076443673464468</v>
      </c>
      <c r="Q22" s="24">
        <v>2.2160415909703426</v>
      </c>
      <c r="R22" s="24">
        <v>1.9539573505582344</v>
      </c>
      <c r="S22" s="24">
        <v>1.3161746595145702</v>
      </c>
      <c r="T22" s="24">
        <v>1.1534490004340476</v>
      </c>
      <c r="U22" s="24">
        <v>0.57627613414954892</v>
      </c>
      <c r="V22" s="24">
        <v>0.59726313828372246</v>
      </c>
      <c r="W22" s="24">
        <v>0.15330699556925773</v>
      </c>
      <c r="X22" s="24">
        <v>0.29476680990258014</v>
      </c>
      <c r="Y22" s="24">
        <v>-1.5893000363702663E-2</v>
      </c>
      <c r="Z22" s="24">
        <v>0.14640355615184608</v>
      </c>
      <c r="AA22" s="24">
        <v>-4.9282425648011087E-2</v>
      </c>
    </row>
    <row r="23" spans="1:27" x14ac:dyDescent="0.15">
      <c r="A23" s="2">
        <v>0.55000000000000016</v>
      </c>
      <c r="B23" s="24">
        <v>4.2535006555615532E-5</v>
      </c>
      <c r="C23" s="24">
        <v>3.6521754709011305E-4</v>
      </c>
      <c r="D23" s="24">
        <v>2.148848739768964E-3</v>
      </c>
      <c r="E23" s="24">
        <v>8.8123894892218214E-3</v>
      </c>
      <c r="F23" s="24">
        <v>2.9479791122011142E-2</v>
      </c>
      <c r="G23" s="24">
        <v>8.0335357388079759E-2</v>
      </c>
      <c r="H23" s="24">
        <v>0.1892139936627367</v>
      </c>
      <c r="I23" s="24">
        <v>0.3827445909836012</v>
      </c>
      <c r="J23" s="24">
        <v>0.68970687497302663</v>
      </c>
      <c r="K23" s="24">
        <v>1.0955407469660252</v>
      </c>
      <c r="L23" s="24">
        <v>1.5843103576912272</v>
      </c>
      <c r="M23" s="24">
        <v>2.0506339013752486</v>
      </c>
      <c r="N23" s="24">
        <v>2.4683198088508811</v>
      </c>
      <c r="O23" s="24">
        <v>2.6794307370998021</v>
      </c>
      <c r="P23" s="24">
        <v>2.7761929199286519</v>
      </c>
      <c r="Q23" s="24">
        <v>2.5804508726259843</v>
      </c>
      <c r="R23" s="24">
        <v>2.3799438213205377</v>
      </c>
      <c r="S23" s="24">
        <v>1.9044106922987871</v>
      </c>
      <c r="T23" s="24">
        <v>1.6281640404230846</v>
      </c>
      <c r="U23" s="24">
        <v>1.0950016145019004</v>
      </c>
      <c r="V23" s="24">
        <v>0.93100133731871737</v>
      </c>
      <c r="W23" s="24">
        <v>0.47982776008304218</v>
      </c>
      <c r="X23" s="24">
        <v>0.47244984160855608</v>
      </c>
      <c r="Y23" s="24">
        <v>0.1373664485347813</v>
      </c>
      <c r="Z23" s="24">
        <v>0.22989312517342919</v>
      </c>
      <c r="AA23" s="24">
        <v>-2.096854511307214E-3</v>
      </c>
    </row>
    <row r="24" spans="1:27" x14ac:dyDescent="0.15">
      <c r="A24" s="2">
        <v>0.6000000000000002</v>
      </c>
      <c r="B24" s="24">
        <v>1.266852001500814E-5</v>
      </c>
      <c r="C24" s="24">
        <v>1.1866416128885623E-4</v>
      </c>
      <c r="D24" s="24">
        <v>7.4450316316429684E-4</v>
      </c>
      <c r="E24" s="24">
        <v>3.287750912750265E-3</v>
      </c>
      <c r="F24" s="24">
        <v>1.1783462232731478E-2</v>
      </c>
      <c r="G24" s="24">
        <v>3.4646179157391523E-2</v>
      </c>
      <c r="H24" s="24">
        <v>8.7895516282272837E-2</v>
      </c>
      <c r="I24" s="24">
        <v>0.19279158855100301</v>
      </c>
      <c r="J24" s="24">
        <v>0.37622346310038329</v>
      </c>
      <c r="K24" s="24">
        <v>0.65167700835984799</v>
      </c>
      <c r="L24" s="24">
        <v>1.0246620197309229</v>
      </c>
      <c r="M24" s="24">
        <v>1.453389230968352</v>
      </c>
      <c r="N24" s="24">
        <v>1.9032437742286503</v>
      </c>
      <c r="O24" s="24">
        <v>2.2725837673358358</v>
      </c>
      <c r="P24" s="24">
        <v>2.549777727749396</v>
      </c>
      <c r="Q24" s="24">
        <v>2.6208075085493485</v>
      </c>
      <c r="R24" s="24">
        <v>2.5866594581524076</v>
      </c>
      <c r="S24" s="24">
        <v>2.3227629601657434</v>
      </c>
      <c r="T24" s="24">
        <v>2.0706116780684591</v>
      </c>
      <c r="U24" s="24">
        <v>1.6273298577102024</v>
      </c>
      <c r="V24" s="24">
        <v>1.3556906974849992</v>
      </c>
      <c r="W24" s="24">
        <v>0.91140760083749839</v>
      </c>
      <c r="X24" s="24">
        <v>0.75448700513291178</v>
      </c>
      <c r="Y24" s="24">
        <v>0.39976153056567554</v>
      </c>
      <c r="Z24" s="24">
        <v>0.3760651256871933</v>
      </c>
      <c r="AA24" s="24">
        <v>0.12128536948822055</v>
      </c>
    </row>
    <row r="25" spans="1:27" x14ac:dyDescent="0.15">
      <c r="A25" s="2">
        <v>0.65000000000000024</v>
      </c>
      <c r="B25" s="24">
        <v>3.7731603299699858E-6</v>
      </c>
      <c r="C25" s="24">
        <v>3.8287856899358851E-5</v>
      </c>
      <c r="D25" s="24">
        <v>2.5516257080249541E-4</v>
      </c>
      <c r="E25" s="24">
        <v>1.2055562654798052E-3</v>
      </c>
      <c r="F25" s="24">
        <v>4.6052388918729958E-3</v>
      </c>
      <c r="G25" s="24">
        <v>1.4504819309110552E-2</v>
      </c>
      <c r="H25" s="24">
        <v>3.9387258533971785E-2</v>
      </c>
      <c r="I25" s="24">
        <v>9.2907081753188001E-2</v>
      </c>
      <c r="J25" s="24">
        <v>0.1949487677950347</v>
      </c>
      <c r="K25" s="24">
        <v>0.36481259928981602</v>
      </c>
      <c r="L25" s="24">
        <v>0.6192289044726853</v>
      </c>
      <c r="M25" s="24">
        <v>0.95281906615484413</v>
      </c>
      <c r="N25" s="24">
        <v>1.3498140576280804</v>
      </c>
      <c r="O25" s="24">
        <v>1.7536483566224264</v>
      </c>
      <c r="P25" s="24">
        <v>2.1265328553758582</v>
      </c>
      <c r="Q25" s="24">
        <v>2.3838252668608533</v>
      </c>
      <c r="R25" s="24">
        <v>2.5307852525255998</v>
      </c>
      <c r="S25" s="24">
        <v>2.4904623580712428</v>
      </c>
      <c r="T25" s="24">
        <v>2.3634692970167825</v>
      </c>
      <c r="U25" s="24">
        <v>2.0634954457529897</v>
      </c>
      <c r="V25" s="24">
        <v>1.7883387830016644</v>
      </c>
      <c r="W25" s="24">
        <v>1.3850147139596376</v>
      </c>
      <c r="X25" s="24">
        <v>1.1285802912879301</v>
      </c>
      <c r="Y25" s="24">
        <v>0.75893202463538723</v>
      </c>
      <c r="Z25" s="24">
        <v>0.61361903483499236</v>
      </c>
      <c r="AA25" s="24">
        <v>0.33323328858636536</v>
      </c>
    </row>
    <row r="26" spans="1:27" x14ac:dyDescent="0.15">
      <c r="A26" s="2">
        <v>0.70000000000000029</v>
      </c>
      <c r="B26" s="24">
        <v>1.1237886397774358E-6</v>
      </c>
      <c r="C26" s="24">
        <v>1.2280756469975312E-5</v>
      </c>
      <c r="D26" s="24">
        <v>8.6635905440500272E-5</v>
      </c>
      <c r="E26" s="24">
        <v>4.3559894285823836E-4</v>
      </c>
      <c r="F26" s="24">
        <v>1.7656364212170462E-3</v>
      </c>
      <c r="G26" s="24">
        <v>5.9224360146173469E-3</v>
      </c>
      <c r="H26" s="24">
        <v>1.7121894050011268E-2</v>
      </c>
      <c r="I26" s="24">
        <v>4.3145506755303771E-2</v>
      </c>
      <c r="J26" s="24">
        <v>9.6755907136287136E-2</v>
      </c>
      <c r="K26" s="24">
        <v>0.19416268931615763</v>
      </c>
      <c r="L26" s="24">
        <v>0.35350262419811795</v>
      </c>
      <c r="M26" s="24">
        <v>0.58539217841117952</v>
      </c>
      <c r="N26" s="24">
        <v>0.89183523980647417</v>
      </c>
      <c r="O26" s="24">
        <v>1.2503004385657204</v>
      </c>
      <c r="P26" s="24">
        <v>1.631702008979858</v>
      </c>
      <c r="Q26" s="24">
        <v>1.977087278734267</v>
      </c>
      <c r="R26" s="24">
        <v>2.2552791651031026</v>
      </c>
      <c r="S26" s="24">
        <v>2.4030214321943149</v>
      </c>
      <c r="T26" s="24">
        <v>2.4396137204938104</v>
      </c>
      <c r="U26" s="24">
        <v>2.3166521020484496</v>
      </c>
      <c r="V26" s="24">
        <v>2.1283960497926921</v>
      </c>
      <c r="W26" s="24">
        <v>1.815307816685529</v>
      </c>
      <c r="X26" s="24">
        <v>1.5362888073831289</v>
      </c>
      <c r="Y26" s="24">
        <v>1.1753639667160902</v>
      </c>
      <c r="Z26" s="24">
        <v>0.93961314505401905</v>
      </c>
      <c r="AA26" s="24">
        <v>0.63226071570763431</v>
      </c>
    </row>
    <row r="27" spans="1:27" x14ac:dyDescent="0.15">
      <c r="A27" s="2">
        <v>0.75000000000000033</v>
      </c>
      <c r="B27" s="24">
        <v>3.3470639899971209E-7</v>
      </c>
      <c r="C27" s="24">
        <v>3.9189319340638636E-6</v>
      </c>
      <c r="D27" s="24">
        <v>2.9176025449963263E-5</v>
      </c>
      <c r="E27" s="24">
        <v>1.5541125141795535E-4</v>
      </c>
      <c r="F27" s="24">
        <v>6.6582492662173721E-4</v>
      </c>
      <c r="G27" s="24">
        <v>2.3669532872997671E-3</v>
      </c>
      <c r="H27" s="24">
        <v>7.2519889879902148E-3</v>
      </c>
      <c r="I27" s="24">
        <v>1.941621764391626E-2</v>
      </c>
      <c r="J27" s="24">
        <v>4.629274747265176E-2</v>
      </c>
      <c r="K27" s="24">
        <v>9.9016604789584309E-2</v>
      </c>
      <c r="L27" s="24">
        <v>0.19228248400583672</v>
      </c>
      <c r="M27" s="24">
        <v>0.34045784252842715</v>
      </c>
      <c r="N27" s="24">
        <v>0.55469828386644271</v>
      </c>
      <c r="O27" s="24">
        <v>0.83358482494013297</v>
      </c>
      <c r="P27" s="24">
        <v>1.165131438946011</v>
      </c>
      <c r="Q27" s="24">
        <v>1.5156848711770956</v>
      </c>
      <c r="R27" s="24">
        <v>1.8515727232136079</v>
      </c>
      <c r="S27" s="24">
        <v>2.1200713288387028</v>
      </c>
      <c r="T27" s="24">
        <v>2.3008796218726713</v>
      </c>
      <c r="U27" s="24">
        <v>2.3513460530377412</v>
      </c>
      <c r="V27" s="24">
        <v>2.3004179832856848</v>
      </c>
      <c r="W27" s="24">
        <v>2.1203375552814223</v>
      </c>
      <c r="X27" s="24">
        <v>1.8956127851347695</v>
      </c>
      <c r="Y27" s="24">
        <v>1.5851105874101581</v>
      </c>
      <c r="Z27" s="24">
        <v>1.3144804005514867</v>
      </c>
      <c r="AA27" s="24">
        <v>0.99530770616958586</v>
      </c>
    </row>
    <row r="28" spans="1:27" x14ac:dyDescent="0.15">
      <c r="A28" s="2">
        <v>0.80000000000000038</v>
      </c>
      <c r="B28" s="24">
        <v>9.9688117112076739E-8</v>
      </c>
      <c r="C28" s="24">
        <v>1.2450185492391955E-6</v>
      </c>
      <c r="D28" s="24">
        <v>9.7549415034903896E-6</v>
      </c>
      <c r="E28" s="24">
        <v>5.4838236875225536E-5</v>
      </c>
      <c r="F28" s="24">
        <v>2.4748378325333107E-4</v>
      </c>
      <c r="G28" s="24">
        <v>9.2859279745619982E-4</v>
      </c>
      <c r="H28" s="24">
        <v>3.0032206272458074E-3</v>
      </c>
      <c r="I28" s="24">
        <v>8.5042391766544465E-3</v>
      </c>
      <c r="J28" s="24">
        <v>2.1460611524591878E-2</v>
      </c>
      <c r="K28" s="24">
        <v>4.8679850214245986E-2</v>
      </c>
      <c r="L28" s="24">
        <v>0.10033775759477062</v>
      </c>
      <c r="M28" s="24">
        <v>0.18892855990873611</v>
      </c>
      <c r="N28" s="24">
        <v>0.32754367095790093</v>
      </c>
      <c r="O28" s="24">
        <v>0.52468143192716687</v>
      </c>
      <c r="P28" s="24">
        <v>0.78174996361480487</v>
      </c>
      <c r="Q28" s="24">
        <v>1.0857703803748928</v>
      </c>
      <c r="R28" s="24">
        <v>1.4148535320081823</v>
      </c>
      <c r="S28" s="24">
        <v>1.7311176971733664</v>
      </c>
      <c r="T28" s="24">
        <v>2.0030225250203997</v>
      </c>
      <c r="U28" s="24">
        <v>2.1885585942554595</v>
      </c>
      <c r="V28" s="24">
        <v>2.2788671306659878</v>
      </c>
      <c r="W28" s="24">
        <v>2.2487242138101662</v>
      </c>
      <c r="X28" s="24">
        <v>2.1324466053639695</v>
      </c>
      <c r="Y28" s="24">
        <v>1.9163912683439446</v>
      </c>
      <c r="Z28" s="24">
        <v>1.6738306718747773</v>
      </c>
      <c r="AA28" s="24">
        <v>1.3761137366961405</v>
      </c>
    </row>
    <row r="29" spans="1:27" x14ac:dyDescent="0.15">
      <c r="A29" s="2">
        <v>0.85000000000000042</v>
      </c>
      <c r="B29" s="24">
        <v>2.9690859580368158E-8</v>
      </c>
      <c r="C29" s="24">
        <v>3.9398903791896806E-7</v>
      </c>
      <c r="D29" s="24">
        <v>3.2407423225678172E-6</v>
      </c>
      <c r="E29" s="24">
        <v>1.9163156120251729E-5</v>
      </c>
      <c r="F29" s="24">
        <v>9.0826419847153802E-5</v>
      </c>
      <c r="G29" s="24">
        <v>3.5843657329678099E-4</v>
      </c>
      <c r="H29" s="24">
        <v>1.2194634400757671E-3</v>
      </c>
      <c r="I29" s="24">
        <v>3.6380601610732921E-3</v>
      </c>
      <c r="J29" s="24">
        <v>9.679372618159569E-3</v>
      </c>
      <c r="K29" s="24">
        <v>2.3184936763754136E-2</v>
      </c>
      <c r="L29" s="24">
        <v>5.0507953938476492E-2</v>
      </c>
      <c r="M29" s="24">
        <v>0.10066974604693345</v>
      </c>
      <c r="N29" s="24">
        <v>0.1848919959293111</v>
      </c>
      <c r="O29" s="24">
        <v>0.31419557780652652</v>
      </c>
      <c r="P29" s="24">
        <v>0.49684300101033896</v>
      </c>
      <c r="Q29" s="24">
        <v>0.73325850305429463</v>
      </c>
      <c r="R29" s="24">
        <v>1.015178164409438</v>
      </c>
      <c r="S29" s="24">
        <v>1.3211100799226019</v>
      </c>
      <c r="T29" s="24">
        <v>1.6243662834325143</v>
      </c>
      <c r="U29" s="24">
        <v>1.8885166899825827</v>
      </c>
      <c r="V29" s="24">
        <v>2.0881876210501034</v>
      </c>
      <c r="W29" s="24">
        <v>2.1934171659917232</v>
      </c>
      <c r="X29" s="24">
        <v>2.2053436169746647</v>
      </c>
      <c r="Y29" s="24">
        <v>2.112239235327567</v>
      </c>
      <c r="Z29" s="24">
        <v>1.9502758746471578</v>
      </c>
      <c r="AA29" s="24">
        <v>1.7149003894687549</v>
      </c>
    </row>
    <row r="30" spans="1:27" x14ac:dyDescent="0.15">
      <c r="A30" s="2">
        <v>0.90000000000000047</v>
      </c>
      <c r="B30" s="24">
        <v>8.8430513902678975E-9</v>
      </c>
      <c r="C30" s="24">
        <v>1.2424734008596654E-7</v>
      </c>
      <c r="D30" s="24">
        <v>1.070483859438236E-6</v>
      </c>
      <c r="E30" s="24">
        <v>6.6391053493531783E-6</v>
      </c>
      <c r="F30" s="24">
        <v>3.2959324731536983E-5</v>
      </c>
      <c r="G30" s="24">
        <v>1.3638748500535732E-4</v>
      </c>
      <c r="H30" s="24">
        <v>4.8664089782195913E-4</v>
      </c>
      <c r="I30" s="24">
        <v>1.5244278847726983E-3</v>
      </c>
      <c r="J30" s="24">
        <v>4.2616963608440913E-3</v>
      </c>
      <c r="K30" s="24">
        <v>1.0739751456713745E-2</v>
      </c>
      <c r="L30" s="24">
        <v>2.4636347509861815E-2</v>
      </c>
      <c r="M30" s="24">
        <v>5.1772391218491788E-2</v>
      </c>
      <c r="N30" s="24">
        <v>0.10033700382070616</v>
      </c>
      <c r="O30" s="24">
        <v>0.18013527306216301</v>
      </c>
      <c r="P30" s="24">
        <v>0.30112318435104801</v>
      </c>
      <c r="Q30" s="24">
        <v>0.47026424837502984</v>
      </c>
      <c r="R30" s="24">
        <v>0.68912566424451227</v>
      </c>
      <c r="S30" s="24">
        <v>0.94998437838337968</v>
      </c>
      <c r="T30" s="24">
        <v>1.2370261329260477</v>
      </c>
      <c r="U30" s="24">
        <v>1.5242568930825597</v>
      </c>
      <c r="V30" s="24">
        <v>1.7847370075992965</v>
      </c>
      <c r="W30" s="24">
        <v>1.9872408204984813</v>
      </c>
      <c r="X30" s="24">
        <v>2.1142823653718299</v>
      </c>
      <c r="Y30" s="24">
        <v>2.1472870735949874</v>
      </c>
      <c r="Z30" s="24">
        <v>2.09509773025141</v>
      </c>
      <c r="AA30" s="24">
        <v>1.9556760405217213</v>
      </c>
    </row>
    <row r="31" spans="1:27" x14ac:dyDescent="0.15">
      <c r="A31" s="2">
        <v>0.95000000000000051</v>
      </c>
      <c r="B31" s="24">
        <v>2.6337923184489142E-9</v>
      </c>
      <c r="C31" s="24">
        <v>3.9061379216901494E-8</v>
      </c>
      <c r="D31" s="24">
        <v>3.5178811850792453E-7</v>
      </c>
      <c r="E31" s="24">
        <v>2.282491792507579E-6</v>
      </c>
      <c r="F31" s="24">
        <v>1.1840392590718776E-5</v>
      </c>
      <c r="G31" s="24">
        <v>5.1238468533505653E-5</v>
      </c>
      <c r="H31" s="24">
        <v>1.9122440488303046E-4</v>
      </c>
      <c r="I31" s="24">
        <v>6.2714703410280846E-4</v>
      </c>
      <c r="J31" s="24">
        <v>1.8367474971663334E-3</v>
      </c>
      <c r="K31" s="24">
        <v>4.85428442811858E-3</v>
      </c>
      <c r="L31" s="24">
        <v>1.1687512977243466E-2</v>
      </c>
      <c r="M31" s="24">
        <v>2.5806489724223763E-2</v>
      </c>
      <c r="N31" s="24">
        <v>5.259339232402966E-2</v>
      </c>
      <c r="O31" s="24">
        <v>9.9391973359820099E-2</v>
      </c>
      <c r="P31" s="24">
        <v>0.17501655466585803</v>
      </c>
      <c r="Q31" s="24">
        <v>0.2881643567478227</v>
      </c>
      <c r="R31" s="24">
        <v>0.44540348128704743</v>
      </c>
      <c r="S31" s="24">
        <v>0.64807811304585461</v>
      </c>
      <c r="T31" s="24">
        <v>0.890824288226441</v>
      </c>
      <c r="U31" s="24">
        <v>1.1593233278253106</v>
      </c>
      <c r="V31" s="24">
        <v>1.4332604331633843</v>
      </c>
      <c r="W31" s="24">
        <v>1.6859196308060445</v>
      </c>
      <c r="X31" s="24">
        <v>1.893400598895288</v>
      </c>
      <c r="Y31" s="24">
        <v>2.0315916656138673</v>
      </c>
      <c r="Z31" s="24">
        <v>2.0909797492163142</v>
      </c>
      <c r="AA31" s="24">
        <v>2.0626643662474775</v>
      </c>
    </row>
    <row r="32" spans="1:27" x14ac:dyDescent="0.15">
      <c r="A32" s="2">
        <v>1.0000000000000004</v>
      </c>
      <c r="B32" s="24">
        <v>7.844421196460287E-10</v>
      </c>
      <c r="C32" s="24">
        <v>1.2246256350014629E-8</v>
      </c>
      <c r="D32" s="24">
        <v>1.1506974059850032E-7</v>
      </c>
      <c r="E32" s="24">
        <v>7.7929594324644201E-7</v>
      </c>
      <c r="F32" s="24">
        <v>4.2151839914952559E-6</v>
      </c>
      <c r="G32" s="24">
        <v>1.903058038412261E-5</v>
      </c>
      <c r="H32" s="24">
        <v>7.4109817975234182E-5</v>
      </c>
      <c r="I32" s="24">
        <v>2.5381194646047819E-4</v>
      </c>
      <c r="J32" s="24">
        <v>7.7669764500922899E-4</v>
      </c>
      <c r="K32" s="24">
        <v>2.1467095972455556E-3</v>
      </c>
      <c r="L32" s="24">
        <v>5.4092524115426184E-3</v>
      </c>
      <c r="M32" s="24">
        <v>1.2511678092431108E-2</v>
      </c>
      <c r="N32" s="24">
        <v>2.6731592613721728E-2</v>
      </c>
      <c r="O32" s="24">
        <v>5.3008084477182763E-2</v>
      </c>
      <c r="P32" s="24">
        <v>9.8010062219641828E-2</v>
      </c>
      <c r="Q32" s="24">
        <v>0.1695807678090735</v>
      </c>
      <c r="R32" s="24">
        <v>0.27559139295203283</v>
      </c>
      <c r="S32" s="24">
        <v>0.42188023182646595</v>
      </c>
      <c r="T32" s="24">
        <v>0.61028052179777048</v>
      </c>
      <c r="U32" s="24">
        <v>0.83621312132121872</v>
      </c>
      <c r="V32" s="24">
        <v>1.0884624006646124</v>
      </c>
      <c r="W32" s="24">
        <v>1.3485035743398004</v>
      </c>
      <c r="X32" s="24">
        <v>1.5945863118631387</v>
      </c>
      <c r="Y32" s="24">
        <v>1.80219705119281</v>
      </c>
      <c r="Z32" s="24">
        <v>1.9524073862784674</v>
      </c>
      <c r="AA32" s="24">
        <v>2.0286968969617658</v>
      </c>
    </row>
    <row r="33" spans="1:27" x14ac:dyDescent="0.15">
      <c r="A33" s="2">
        <v>1.0500000000000003</v>
      </c>
      <c r="B33" s="24">
        <v>2.3363627981007406E-10</v>
      </c>
      <c r="C33" s="24">
        <v>3.8297640944298562E-9</v>
      </c>
      <c r="D33" s="24">
        <v>3.7480389569761725E-8</v>
      </c>
      <c r="E33" s="24">
        <v>2.6440888859555089E-7</v>
      </c>
      <c r="F33" s="24">
        <v>1.4883537735158671E-6</v>
      </c>
      <c r="G33" s="24">
        <v>6.9956827189027821E-6</v>
      </c>
      <c r="H33" s="24">
        <v>2.836626140107378E-5</v>
      </c>
      <c r="I33" s="24">
        <v>1.0121777265377678E-4</v>
      </c>
      <c r="J33" s="24">
        <v>3.2287727132449315E-4</v>
      </c>
      <c r="K33" s="24">
        <v>9.3095037867244653E-4</v>
      </c>
      <c r="L33" s="24">
        <v>2.448779235768282E-3</v>
      </c>
      <c r="M33" s="24">
        <v>5.9175058354770686E-3</v>
      </c>
      <c r="N33" s="24">
        <v>1.3218137517175895E-2</v>
      </c>
      <c r="O33" s="24">
        <v>2.7425646679424084E-2</v>
      </c>
      <c r="P33" s="24">
        <v>5.3094450504718872E-2</v>
      </c>
      <c r="Q33" s="24">
        <v>9.6257242377593269E-2</v>
      </c>
      <c r="R33" s="24">
        <v>0.16400047039438131</v>
      </c>
      <c r="S33" s="24">
        <v>0.26336011989832941</v>
      </c>
      <c r="T33" s="24">
        <v>0.39979643214820448</v>
      </c>
      <c r="U33" s="24">
        <v>0.5751291726993748</v>
      </c>
      <c r="V33" s="24">
        <v>0.78609295197331797</v>
      </c>
      <c r="W33" s="24">
        <v>1.0229475382355595</v>
      </c>
      <c r="X33" s="24">
        <v>1.2704642672523456</v>
      </c>
      <c r="Y33" s="24">
        <v>1.50844146482268</v>
      </c>
      <c r="Z33" s="24">
        <v>1.716226217264158</v>
      </c>
      <c r="AA33" s="24">
        <v>1.8733932239892213</v>
      </c>
    </row>
    <row r="34" spans="1:27" x14ac:dyDescent="0.15">
      <c r="A34" s="2">
        <v>1.1000000000000001</v>
      </c>
      <c r="B34" s="24">
        <v>6.9585645487932933E-11</v>
      </c>
      <c r="C34" s="24">
        <v>1.1949639045925975E-9</v>
      </c>
      <c r="D34" s="24">
        <v>1.2161017198796811E-8</v>
      </c>
      <c r="E34" s="24">
        <v>8.9202485423137657E-8</v>
      </c>
      <c r="F34" s="24">
        <v>5.2162598731481117E-7</v>
      </c>
      <c r="G34" s="24">
        <v>2.5476995387482367E-6</v>
      </c>
      <c r="H34" s="24">
        <v>1.0735755145138492E-5</v>
      </c>
      <c r="I34" s="24">
        <v>3.9830788249044097E-5</v>
      </c>
      <c r="J34" s="24">
        <v>1.3216842156281474E-4</v>
      </c>
      <c r="K34" s="24">
        <v>3.9666531403164404E-4</v>
      </c>
      <c r="L34" s="24">
        <v>1.0867187191850134E-3</v>
      </c>
      <c r="M34" s="24">
        <v>2.7370586951724158E-3</v>
      </c>
      <c r="N34" s="24">
        <v>6.3764614134876338E-3</v>
      </c>
      <c r="O34" s="24">
        <v>1.3808330663190276E-2</v>
      </c>
      <c r="P34" s="24">
        <v>2.79181838574275E-2</v>
      </c>
      <c r="Q34" s="24">
        <v>5.2894982642951248E-2</v>
      </c>
      <c r="R34" s="24">
        <v>9.4235322637571853E-2</v>
      </c>
      <c r="S34" s="24">
        <v>0.15832610312211615</v>
      </c>
      <c r="T34" s="24">
        <v>0.25157212779110327</v>
      </c>
      <c r="U34" s="24">
        <v>0.37896452263257063</v>
      </c>
      <c r="V34" s="24">
        <v>0.54253878880619111</v>
      </c>
      <c r="W34" s="24">
        <v>0.73971032299146366</v>
      </c>
      <c r="X34" s="24">
        <v>0.96262511304249032</v>
      </c>
      <c r="Y34" s="24">
        <v>1.1978155747052817</v>
      </c>
      <c r="Z34" s="24">
        <v>1.4281021321379415</v>
      </c>
      <c r="AA34" s="24">
        <v>1.6338102712547542</v>
      </c>
    </row>
    <row r="35" spans="1:27" x14ac:dyDescent="0.15">
      <c r="A35" s="2">
        <v>1.1499999999999999</v>
      </c>
      <c r="B35" s="24">
        <v>2.072521468801223E-11</v>
      </c>
      <c r="C35" s="24">
        <v>3.7208256474928391E-10</v>
      </c>
      <c r="D35" s="24">
        <v>3.9318620810876774E-9</v>
      </c>
      <c r="E35" s="24">
        <v>2.9937745836319696E-8</v>
      </c>
      <c r="F35" s="24">
        <v>1.8157533779197383E-7</v>
      </c>
      <c r="G35" s="24">
        <v>9.1995610220003158E-7</v>
      </c>
      <c r="H35" s="24">
        <v>4.0216782806421543E-6</v>
      </c>
      <c r="I35" s="24">
        <v>1.5485580719934828E-5</v>
      </c>
      <c r="J35" s="24">
        <v>5.335100118846225E-5</v>
      </c>
      <c r="K35" s="24">
        <v>1.6633569859045153E-4</v>
      </c>
      <c r="L35" s="24">
        <v>4.7365271079469879E-4</v>
      </c>
      <c r="M35" s="24">
        <v>1.2407383317542787E-3</v>
      </c>
      <c r="N35" s="24">
        <v>3.008085901496324E-3</v>
      </c>
      <c r="O35" s="24">
        <v>6.7833724176106277E-3</v>
      </c>
      <c r="P35" s="24">
        <v>1.4290466875343298E-2</v>
      </c>
      <c r="Q35" s="24">
        <v>2.8228970418238429E-2</v>
      </c>
      <c r="R35" s="24">
        <v>5.2463016761894514E-2</v>
      </c>
      <c r="S35" s="24">
        <v>9.1999490931695557E-2</v>
      </c>
      <c r="T35" s="24">
        <v>0.1526453821376289</v>
      </c>
      <c r="U35" s="24">
        <v>0.24021227463106073</v>
      </c>
      <c r="V35" s="24">
        <v>0.35936885971184152</v>
      </c>
      <c r="W35" s="24">
        <v>0.51217360391940281</v>
      </c>
      <c r="X35" s="24">
        <v>0.6968377330240485</v>
      </c>
      <c r="Y35" s="24">
        <v>0.90670425901918317</v>
      </c>
      <c r="Z35" s="24">
        <v>1.1304346539562045</v>
      </c>
      <c r="AA35" s="24">
        <v>1.3525281701204692</v>
      </c>
    </row>
    <row r="36" spans="1:27" x14ac:dyDescent="0.15">
      <c r="A36" s="2">
        <v>1.1999999999999997</v>
      </c>
      <c r="B36" s="24">
        <v>6.1727461296408428E-12</v>
      </c>
      <c r="C36" s="24">
        <v>1.1563840787323285E-10</v>
      </c>
      <c r="D36" s="24">
        <v>1.2671034469982771E-9</v>
      </c>
      <c r="E36" s="24">
        <v>9.9997524366407501E-9</v>
      </c>
      <c r="F36" s="24">
        <v>6.2812285516188861E-8</v>
      </c>
      <c r="G36" s="24">
        <v>3.2961011009721876E-7</v>
      </c>
      <c r="H36" s="24">
        <v>1.4924802950974985E-6</v>
      </c>
      <c r="I36" s="24">
        <v>5.9544392695558977E-6</v>
      </c>
      <c r="J36" s="24">
        <v>2.1262702674968674E-5</v>
      </c>
      <c r="K36" s="24">
        <v>6.8743421533129612E-5</v>
      </c>
      <c r="L36" s="24">
        <v>2.0308879216457388E-4</v>
      </c>
      <c r="M36" s="24">
        <v>5.5223875267352619E-4</v>
      </c>
      <c r="N36" s="24">
        <v>1.3905776974334181E-3</v>
      </c>
      <c r="O36" s="24">
        <v>3.2588274309109915E-3</v>
      </c>
      <c r="P36" s="24">
        <v>7.1386282590534889E-3</v>
      </c>
      <c r="Q36" s="24">
        <v>1.4671068728574052E-2</v>
      </c>
      <c r="R36" s="24">
        <v>2.8382157447883149E-2</v>
      </c>
      <c r="S36" s="24">
        <v>5.1835263791246845E-2</v>
      </c>
      <c r="T36" s="24">
        <v>8.9612070814792208E-2</v>
      </c>
      <c r="U36" s="24">
        <v>0.1469960988732304</v>
      </c>
      <c r="V36" s="24">
        <v>0.22931306118889014</v>
      </c>
      <c r="W36" s="24">
        <v>0.34089576145808775</v>
      </c>
      <c r="X36" s="24">
        <v>0.48389269724145645</v>
      </c>
      <c r="Y36" s="24">
        <v>0.65703202998271115</v>
      </c>
      <c r="Z36" s="24">
        <v>0.85489477801830227</v>
      </c>
      <c r="AA36" s="24">
        <v>1.0676039721707165</v>
      </c>
    </row>
    <row r="37" spans="1:27" x14ac:dyDescent="0.15">
      <c r="A37" s="2">
        <v>1.2499999999999996</v>
      </c>
      <c r="B37" s="24">
        <v>1.8384752753869046E-12</v>
      </c>
      <c r="C37" s="24">
        <v>3.5876514900983309E-11</v>
      </c>
      <c r="D37" s="24">
        <v>4.0711762933043092E-10</v>
      </c>
      <c r="E37" s="24">
        <v>3.3254580010077852E-9</v>
      </c>
      <c r="F37" s="24">
        <v>2.1604194384739472E-8</v>
      </c>
      <c r="G37" s="24">
        <v>1.1725276680676386E-7</v>
      </c>
      <c r="H37" s="24">
        <v>5.4912440255883789E-7</v>
      </c>
      <c r="I37" s="24">
        <v>2.2665158784791018E-6</v>
      </c>
      <c r="J37" s="24">
        <v>8.3757298384731163E-6</v>
      </c>
      <c r="K37" s="24">
        <v>2.803503696509859E-5</v>
      </c>
      <c r="L37" s="24">
        <v>8.578468028849042E-5</v>
      </c>
      <c r="M37" s="24">
        <v>2.4172312826040203E-4</v>
      </c>
      <c r="N37" s="24">
        <v>6.3105884234580095E-4</v>
      </c>
      <c r="O37" s="24">
        <v>1.5340783546613274E-3</v>
      </c>
      <c r="P37" s="24">
        <v>3.4876750376023574E-3</v>
      </c>
      <c r="Q37" s="24">
        <v>7.4429417806591344E-3</v>
      </c>
      <c r="R37" s="24">
        <v>1.4959068906248573E-2</v>
      </c>
      <c r="S37" s="24">
        <v>2.8396893604796424E-2</v>
      </c>
      <c r="T37" s="24">
        <v>5.1049272717666676E-2</v>
      </c>
      <c r="U37" s="24">
        <v>8.7113836698048702E-2</v>
      </c>
      <c r="V37" s="24">
        <v>0.14142426209469208</v>
      </c>
      <c r="W37" s="24">
        <v>0.2188631110213507</v>
      </c>
      <c r="X37" s="24">
        <v>0.32349506001101125</v>
      </c>
      <c r="Y37" s="24">
        <v>0.45747989348387297</v>
      </c>
      <c r="Z37" s="24">
        <v>0.6200552146386904</v>
      </c>
      <c r="AA37" s="24">
        <v>0.80671336453268339</v>
      </c>
    </row>
    <row r="38" spans="1:27" x14ac:dyDescent="0.15">
      <c r="A38" s="2">
        <v>1.2999999999999994</v>
      </c>
      <c r="B38" s="24">
        <v>5.4756687983304736E-13</v>
      </c>
      <c r="C38" s="24">
        <v>1.1112786367094478E-11</v>
      </c>
      <c r="D38" s="24">
        <v>1.3044225252446337E-10</v>
      </c>
      <c r="E38" s="24">
        <v>1.1014142364164332E-9</v>
      </c>
      <c r="F38" s="24">
        <v>7.3914184033027444E-9</v>
      </c>
      <c r="G38" s="24">
        <v>4.1435890187445902E-8</v>
      </c>
      <c r="H38" s="24">
        <v>2.0044157206874556E-7</v>
      </c>
      <c r="I38" s="24">
        <v>8.5473604751678946E-7</v>
      </c>
      <c r="J38" s="24">
        <v>3.2641098904519326E-6</v>
      </c>
      <c r="K38" s="24">
        <v>1.1294522391158943E-5</v>
      </c>
      <c r="L38" s="24">
        <v>3.5741177865727344E-5</v>
      </c>
      <c r="M38" s="24">
        <v>1.0419820694461095E-4</v>
      </c>
      <c r="N38" s="24">
        <v>2.8157267438780022E-4</v>
      </c>
      <c r="O38" s="24">
        <v>7.0884910787840109E-4</v>
      </c>
      <c r="P38" s="24">
        <v>1.6696818856204664E-3</v>
      </c>
      <c r="Q38" s="24">
        <v>3.6935391708137299E-3</v>
      </c>
      <c r="R38" s="24">
        <v>7.6984732714216525E-3</v>
      </c>
      <c r="S38" s="24">
        <v>1.5162495378761515E-2</v>
      </c>
      <c r="T38" s="24">
        <v>2.8292658159501861E-2</v>
      </c>
      <c r="U38" s="24">
        <v>5.0133839215353942E-2</v>
      </c>
      <c r="V38" s="24">
        <v>8.4544222881759806E-2</v>
      </c>
      <c r="W38" s="24">
        <v>0.13595411139149655</v>
      </c>
      <c r="X38" s="24">
        <v>0.20886601502855934</v>
      </c>
      <c r="Y38" s="24">
        <v>0.30708526619712262</v>
      </c>
      <c r="Z38" s="24">
        <v>0.43279767178296269</v>
      </c>
      <c r="AA38" s="24">
        <v>0.58561261260454234</v>
      </c>
    </row>
    <row r="39" spans="1:27" x14ac:dyDescent="0.15">
      <c r="A39" s="2">
        <v>1.3499999999999992</v>
      </c>
      <c r="B39" s="24">
        <v>1.6308595057227524E-13</v>
      </c>
      <c r="C39" s="24">
        <v>3.4371046830560201E-12</v>
      </c>
      <c r="D39" s="24">
        <v>4.1686300240833322E-11</v>
      </c>
      <c r="E39" s="24">
        <v>3.6342567803303155E-10</v>
      </c>
      <c r="F39" s="24">
        <v>2.5164183732581931E-9</v>
      </c>
      <c r="G39" s="24">
        <v>1.4553765709831414E-8</v>
      </c>
      <c r="H39" s="24">
        <v>7.2630636369306828E-8</v>
      </c>
      <c r="I39" s="24">
        <v>3.195731612657276E-7</v>
      </c>
      <c r="J39" s="24">
        <v>1.2595224469717766E-6</v>
      </c>
      <c r="K39" s="24">
        <v>4.4993233155481348E-6</v>
      </c>
      <c r="L39" s="24">
        <v>1.4704016111218225E-5</v>
      </c>
      <c r="M39" s="24">
        <v>4.4287926232126429E-5</v>
      </c>
      <c r="N39" s="24">
        <v>1.2369469321518302E-4</v>
      </c>
      <c r="O39" s="24">
        <v>3.2198660617466506E-4</v>
      </c>
      <c r="P39" s="24">
        <v>7.8456791396558812E-4</v>
      </c>
      <c r="Q39" s="24">
        <v>1.7961596810723709E-3</v>
      </c>
      <c r="R39" s="24">
        <v>3.8761518285516062E-3</v>
      </c>
      <c r="S39" s="24">
        <v>7.9076350139686228E-3</v>
      </c>
      <c r="T39" s="24">
        <v>1.5289945268690637E-2</v>
      </c>
      <c r="U39" s="24">
        <v>2.808588626159636E-2</v>
      </c>
      <c r="V39" s="24">
        <v>4.9115748713947784E-2</v>
      </c>
      <c r="W39" s="24">
        <v>8.1931693334158923E-2</v>
      </c>
      <c r="X39" s="24">
        <v>0.13060966695960713</v>
      </c>
      <c r="Y39" s="24">
        <v>0.19930859538750656</v>
      </c>
      <c r="Z39" s="24">
        <v>0.29161016009791541</v>
      </c>
      <c r="AA39" s="24">
        <v>0.4096912580972093</v>
      </c>
    </row>
    <row r="40" spans="1:27" x14ac:dyDescent="0.15">
      <c r="A40" s="2">
        <v>1.399999999999999</v>
      </c>
      <c r="B40" s="24">
        <v>4.8573111803570034E-14</v>
      </c>
      <c r="C40" s="24">
        <v>1.0616134314485752E-12</v>
      </c>
      <c r="D40" s="24">
        <v>1.3289918159098964E-11</v>
      </c>
      <c r="E40" s="24">
        <v>1.1949812305798012E-10</v>
      </c>
      <c r="F40" s="24">
        <v>8.5281359566995205E-10</v>
      </c>
      <c r="G40" s="24">
        <v>5.0828789261514815E-9</v>
      </c>
      <c r="H40" s="24">
        <v>2.6139547228451766E-8</v>
      </c>
      <c r="I40" s="24">
        <v>1.1853547742891608E-7</v>
      </c>
      <c r="J40" s="24">
        <v>4.8157740749712805E-7</v>
      </c>
      <c r="K40" s="24">
        <v>1.773810098321614E-6</v>
      </c>
      <c r="L40" s="24">
        <v>5.9790048921502088E-6</v>
      </c>
      <c r="M40" s="24">
        <v>1.8580766774922421E-5</v>
      </c>
      <c r="N40" s="24">
        <v>5.3564327679948243E-5</v>
      </c>
      <c r="O40" s="24">
        <v>1.4397253969082003E-4</v>
      </c>
      <c r="P40" s="24">
        <v>3.6237957464819103E-4</v>
      </c>
      <c r="Q40" s="24">
        <v>8.5732814039004071E-4</v>
      </c>
      <c r="R40" s="24">
        <v>1.9127036538687582E-3</v>
      </c>
      <c r="S40" s="24">
        <v>4.0356403406030302E-3</v>
      </c>
      <c r="T40" s="24">
        <v>8.0734359514672629E-3</v>
      </c>
      <c r="U40" s="24">
        <v>1.5349306414475421E-2</v>
      </c>
      <c r="V40" s="24">
        <v>2.7792038822116776E-2</v>
      </c>
      <c r="W40" s="24">
        <v>4.8016617491591009E-2</v>
      </c>
      <c r="X40" s="24">
        <v>7.9301572620785604E-2</v>
      </c>
      <c r="Y40" s="24">
        <v>0.12540471008519491</v>
      </c>
      <c r="Z40" s="24">
        <v>0.19018216678556349</v>
      </c>
      <c r="AA40" s="24">
        <v>0.27700525400109705</v>
      </c>
    </row>
    <row r="41" spans="1:27" x14ac:dyDescent="0.15">
      <c r="A41" s="2">
        <v>1.4499999999999988</v>
      </c>
      <c r="B41" s="24">
        <v>1.4466894186795792E-14</v>
      </c>
      <c r="C41" s="24">
        <v>3.2748072933153173E-13</v>
      </c>
      <c r="D41" s="24">
        <v>4.2274125612785789E-12</v>
      </c>
      <c r="E41" s="24">
        <v>3.9164270468821912E-11</v>
      </c>
      <c r="F41" s="24">
        <v>2.8779069300341243E-10</v>
      </c>
      <c r="G41" s="24">
        <v>1.7658352116342088E-9</v>
      </c>
      <c r="H41" s="24">
        <v>9.3482187012990282E-9</v>
      </c>
      <c r="I41" s="24">
        <v>4.3642651348763666E-8</v>
      </c>
      <c r="J41" s="24">
        <v>1.8257038312497811E-7</v>
      </c>
      <c r="K41" s="24">
        <v>6.9258789136260121E-7</v>
      </c>
      <c r="L41" s="24">
        <v>2.4050211823509391E-6</v>
      </c>
      <c r="M41" s="24">
        <v>7.7021569446972083E-6</v>
      </c>
      <c r="N41" s="24">
        <v>2.2889121947821331E-5</v>
      </c>
      <c r="O41" s="24">
        <v>6.3444439461152037E-5</v>
      </c>
      <c r="P41" s="24">
        <v>1.6473958376933724E-4</v>
      </c>
      <c r="Q41" s="24">
        <v>4.0222178257109557E-4</v>
      </c>
      <c r="R41" s="24">
        <v>9.2643322665591512E-4</v>
      </c>
      <c r="S41" s="24">
        <v>2.0187837287614194E-3</v>
      </c>
      <c r="T41" s="24">
        <v>4.1725861319870852E-3</v>
      </c>
      <c r="U41" s="24">
        <v>8.1989667430573312E-3</v>
      </c>
      <c r="V41" s="24">
        <v>1.5348292986817324E-2</v>
      </c>
      <c r="W41" s="24">
        <v>2.7424465550604314E-2</v>
      </c>
      <c r="X41" s="24">
        <v>4.6855625311746217E-2</v>
      </c>
      <c r="Y41" s="24">
        <v>7.6673048005926281E-2</v>
      </c>
      <c r="Z41" s="24">
        <v>0.12035098583603134</v>
      </c>
      <c r="AA41" s="24">
        <v>0.18147164032374546</v>
      </c>
    </row>
    <row r="42" spans="1:27" x14ac:dyDescent="0.15">
      <c r="A42" s="2">
        <v>1.4999999999999987</v>
      </c>
      <c r="B42" s="24">
        <v>4.3087835973597905E-15</v>
      </c>
      <c r="C42" s="24">
        <v>1.0089935350580697E-13</v>
      </c>
      <c r="D42" s="24">
        <v>1.3418781667226085E-12</v>
      </c>
      <c r="E42" s="24">
        <v>1.279661524392798E-11</v>
      </c>
      <c r="F42" s="24">
        <v>9.6732477705916516E-11</v>
      </c>
      <c r="G42" s="24">
        <v>6.1044920041593831E-10</v>
      </c>
      <c r="H42" s="24">
        <v>3.3235130370596502E-9</v>
      </c>
      <c r="I42" s="24">
        <v>1.5957981380076068E-8</v>
      </c>
      <c r="J42" s="24">
        <v>6.8667855256063758E-8</v>
      </c>
      <c r="K42" s="24">
        <v>2.6800498926643025E-7</v>
      </c>
      <c r="L42" s="24">
        <v>9.5771719542306476E-7</v>
      </c>
      <c r="M42" s="24">
        <v>3.157210849664842E-6</v>
      </c>
      <c r="N42" s="24">
        <v>9.6610802149317118E-6</v>
      </c>
      <c r="O42" s="24">
        <v>2.7582737700444E-5</v>
      </c>
      <c r="P42" s="24">
        <v>7.3796539034560256E-5</v>
      </c>
      <c r="Q42" s="24">
        <v>1.8571590693877851E-4</v>
      </c>
      <c r="R42" s="24">
        <v>4.4105764291923333E-4</v>
      </c>
      <c r="S42" s="24">
        <v>9.9133647924790221E-4</v>
      </c>
      <c r="T42" s="24">
        <v>2.1141524884010173E-3</v>
      </c>
      <c r="U42" s="24">
        <v>4.2878142447098904E-3</v>
      </c>
      <c r="V42" s="24">
        <v>8.2874865807157239E-3</v>
      </c>
      <c r="W42" s="24">
        <v>1.52939708210492E-2</v>
      </c>
      <c r="X42" s="24">
        <v>2.6995264736388087E-2</v>
      </c>
      <c r="Y42" s="24">
        <v>4.5648614111232957E-2</v>
      </c>
      <c r="Z42" s="24">
        <v>7.4062362643793497E-2</v>
      </c>
      <c r="AA42" s="24">
        <v>0.11545504869359914</v>
      </c>
    </row>
    <row r="43" spans="1:27" x14ac:dyDescent="0.15">
      <c r="A43" s="2">
        <v>1.5499999999999985</v>
      </c>
      <c r="B43" s="24">
        <v>1.2833173346786463E-15</v>
      </c>
      <c r="C43" s="24">
        <v>3.105333157311197E-14</v>
      </c>
      <c r="D43" s="24">
        <v>4.2510335908162745E-13</v>
      </c>
      <c r="E43" s="24">
        <v>4.1692695567353862E-12</v>
      </c>
      <c r="F43" s="24">
        <v>3.2392956507977099E-11</v>
      </c>
      <c r="G43" s="24">
        <v>2.1006111594962247E-10</v>
      </c>
      <c r="H43" s="24">
        <v>1.1750877843225894E-9</v>
      </c>
      <c r="I43" s="24">
        <v>5.7975705743996373E-9</v>
      </c>
      <c r="J43" s="24">
        <v>2.5636841608964437E-8</v>
      </c>
      <c r="K43" s="24">
        <v>1.0284267533974733E-7</v>
      </c>
      <c r="L43" s="24">
        <v>3.7781658013301944E-7</v>
      </c>
      <c r="M43" s="24">
        <v>1.2807679724775201E-6</v>
      </c>
      <c r="N43" s="24">
        <v>4.0312150051237961E-6</v>
      </c>
      <c r="O43" s="24">
        <v>1.1841876774858869E-5</v>
      </c>
      <c r="P43" s="24">
        <v>3.2608225188653467E-5</v>
      </c>
      <c r="Q43" s="24">
        <v>8.448661868013851E-5</v>
      </c>
      <c r="R43" s="24">
        <v>2.066442550236824E-4</v>
      </c>
      <c r="S43" s="24">
        <v>4.7849845860046462E-4</v>
      </c>
      <c r="T43" s="24">
        <v>1.0516423751734682E-3</v>
      </c>
      <c r="U43" s="24">
        <v>2.1987631095601681E-3</v>
      </c>
      <c r="V43" s="24">
        <v>4.3823790925312869E-3</v>
      </c>
      <c r="W43" s="24">
        <v>8.342199715447635E-3</v>
      </c>
      <c r="X43" s="24">
        <v>1.5192966795195391E-2</v>
      </c>
      <c r="Y43" s="24">
        <v>2.651496150797086E-2</v>
      </c>
      <c r="Z43" s="24">
        <v>4.4409287936879455E-2</v>
      </c>
      <c r="AA43" s="24">
        <v>7.1482052442117694E-2</v>
      </c>
    </row>
    <row r="44" spans="1:27" x14ac:dyDescent="0.15">
      <c r="A44" s="2">
        <v>1.5999999999999983</v>
      </c>
      <c r="B44" s="24">
        <v>3.8222002666735132E-16</v>
      </c>
      <c r="C44" s="24">
        <v>9.5471965340972765E-15</v>
      </c>
      <c r="D44" s="24">
        <v>1.3442210346124942E-13</v>
      </c>
      <c r="E44" s="24">
        <v>1.3547541306481625E-12</v>
      </c>
      <c r="F44" s="24">
        <v>1.0809635104137401E-11</v>
      </c>
      <c r="G44" s="24">
        <v>7.1971950861608425E-11</v>
      </c>
      <c r="H44" s="24">
        <v>4.1333127750889076E-10</v>
      </c>
      <c r="I44" s="24">
        <v>2.0935984406108551E-9</v>
      </c>
      <c r="J44" s="24">
        <v>9.505388330164813E-9</v>
      </c>
      <c r="K44" s="24">
        <v>3.9156384653612947E-8</v>
      </c>
      <c r="L44" s="24">
        <v>1.4774653735417446E-7</v>
      </c>
      <c r="M44" s="24">
        <v>5.1453214000568817E-7</v>
      </c>
      <c r="N44" s="24">
        <v>1.6641518102080355E-6</v>
      </c>
      <c r="O44" s="24">
        <v>5.0247065017807341E-6</v>
      </c>
      <c r="P44" s="24">
        <v>1.4225735930896911E-5</v>
      </c>
      <c r="Q44" s="24">
        <v>3.7907220235774951E-5</v>
      </c>
      <c r="R44" s="24">
        <v>9.5383943162062181E-5</v>
      </c>
      <c r="S44" s="24">
        <v>2.2729154909356355E-4</v>
      </c>
      <c r="T44" s="24">
        <v>5.1422595771384865E-4</v>
      </c>
      <c r="U44" s="24">
        <v>1.1070783233816802E-3</v>
      </c>
      <c r="V44" s="24">
        <v>2.2727486864077481E-3</v>
      </c>
      <c r="W44" s="24">
        <v>4.4574557835460396E-3</v>
      </c>
      <c r="X44" s="24">
        <v>8.3662684735353182E-3</v>
      </c>
      <c r="Y44" s="24">
        <v>1.5051310564092523E-2</v>
      </c>
      <c r="Z44" s="24">
        <v>2.5992909697017969E-2</v>
      </c>
      <c r="AA44" s="24">
        <v>4.3149066856064566E-2</v>
      </c>
    </row>
    <row r="45" spans="1:27" x14ac:dyDescent="0.15">
      <c r="A45" s="2">
        <v>1.6499999999999981</v>
      </c>
      <c r="B45" s="24">
        <v>1.1383945719253721E-16</v>
      </c>
      <c r="C45" s="24">
        <v>2.9323729335905787E-15</v>
      </c>
      <c r="D45" s="24">
        <v>4.2431529191656241E-14</v>
      </c>
      <c r="E45" s="24">
        <v>4.3910221788720729E-13</v>
      </c>
      <c r="F45" s="24">
        <v>3.5953739169016878E-12</v>
      </c>
      <c r="G45" s="24">
        <v>2.4559273949990242E-11</v>
      </c>
      <c r="H45" s="24">
        <v>1.4468311766334898E-10</v>
      </c>
      <c r="I45" s="24">
        <v>7.5176342436233614E-10</v>
      </c>
      <c r="J45" s="24">
        <v>3.5015175003103149E-9</v>
      </c>
      <c r="K45" s="24">
        <v>1.479939902095855E-8</v>
      </c>
      <c r="L45" s="24">
        <v>5.7304341461063314E-8</v>
      </c>
      <c r="M45" s="24">
        <v>2.0483304781379644E-7</v>
      </c>
      <c r="N45" s="24">
        <v>6.8013778786639762E-7</v>
      </c>
      <c r="O45" s="24">
        <v>2.1088183123071303E-6</v>
      </c>
      <c r="P45" s="24">
        <v>6.1325627522463154E-6</v>
      </c>
      <c r="Q45" s="24">
        <v>1.6789865569233118E-5</v>
      </c>
      <c r="R45" s="24">
        <v>4.3419096119080752E-5</v>
      </c>
      <c r="S45" s="24">
        <v>1.0636361032300788E-4</v>
      </c>
      <c r="T45" s="24">
        <v>2.4745277478385226E-4</v>
      </c>
      <c r="U45" s="24">
        <v>5.4798503652080143E-4</v>
      </c>
      <c r="V45" s="24">
        <v>1.1574840649464426E-3</v>
      </c>
      <c r="W45" s="24">
        <v>2.3363718421876589E-3</v>
      </c>
      <c r="X45" s="24">
        <v>4.5143127317918592E-3</v>
      </c>
      <c r="Y45" s="24">
        <v>8.3627180072463909E-3</v>
      </c>
      <c r="Z45" s="24">
        <v>1.4874532927282068E-2</v>
      </c>
      <c r="AA45" s="24">
        <v>2.5437254505823455E-2</v>
      </c>
    </row>
    <row r="46" spans="1:27" x14ac:dyDescent="0.15">
      <c r="A46" s="2">
        <v>1.699999999999998</v>
      </c>
      <c r="B46" s="24">
        <v>3.3905659331582302E-17</v>
      </c>
      <c r="C46" s="24">
        <v>8.9983640008126244E-16</v>
      </c>
      <c r="D46" s="24">
        <v>1.3371854325821091E-14</v>
      </c>
      <c r="E46" s="24">
        <v>1.4198365594575718E-13</v>
      </c>
      <c r="F46" s="24">
        <v>1.1921533324476538E-12</v>
      </c>
      <c r="G46" s="24">
        <v>8.3484426778693658E-12</v>
      </c>
      <c r="H46" s="24">
        <v>5.0414253652416002E-11</v>
      </c>
      <c r="I46" s="24">
        <v>2.6850721517952026E-10</v>
      </c>
      <c r="J46" s="24">
        <v>1.282015906267854E-9</v>
      </c>
      <c r="K46" s="24">
        <v>5.5550955325613889E-9</v>
      </c>
      <c r="L46" s="24">
        <v>2.2055168444144428E-8</v>
      </c>
      <c r="M46" s="24">
        <v>8.0849581712145705E-8</v>
      </c>
      <c r="N46" s="24">
        <v>2.753718711673327E-7</v>
      </c>
      <c r="O46" s="24">
        <v>8.7600292172352206E-7</v>
      </c>
      <c r="P46" s="24">
        <v>2.6143112692184814E-6</v>
      </c>
      <c r="Q46" s="24">
        <v>7.3471966204335248E-6</v>
      </c>
      <c r="R46" s="24">
        <v>1.9508682954655438E-5</v>
      </c>
      <c r="S46" s="24">
        <v>4.9082736974507491E-5</v>
      </c>
      <c r="T46" s="24">
        <v>1.1730949551026773E-4</v>
      </c>
      <c r="U46" s="24">
        <v>2.6695071713493088E-4</v>
      </c>
      <c r="V46" s="24">
        <v>5.7958074796505275E-4</v>
      </c>
      <c r="W46" s="24">
        <v>1.2027907366904159E-3</v>
      </c>
      <c r="X46" s="24">
        <v>2.3900012360331424E-3</v>
      </c>
      <c r="Y46" s="24">
        <v>4.5542540167853897E-3</v>
      </c>
      <c r="Z46" s="24">
        <v>8.3344351093037339E-3</v>
      </c>
      <c r="AA46" s="24">
        <v>1.466763072639197E-2</v>
      </c>
    </row>
    <row r="47" spans="1:27" x14ac:dyDescent="0.15">
      <c r="A47" s="2">
        <v>1.7499999999999978</v>
      </c>
      <c r="B47" s="24">
        <v>1.0098376811170145E-17</v>
      </c>
      <c r="C47" s="24">
        <v>2.7588752450947365E-16</v>
      </c>
      <c r="D47" s="24">
        <v>4.2074510322759741E-15</v>
      </c>
      <c r="E47" s="24">
        <v>4.5807463015728932E-14</v>
      </c>
      <c r="F47" s="24">
        <v>3.9414006286558466E-13</v>
      </c>
      <c r="G47" s="24">
        <v>2.827660285879446E-12</v>
      </c>
      <c r="H47" s="24">
        <v>1.7491139869295429E-11</v>
      </c>
      <c r="I47" s="24">
        <v>9.5422596604968743E-11</v>
      </c>
      <c r="J47" s="24">
        <v>4.6669768384101913E-10</v>
      </c>
      <c r="K47" s="24">
        <v>2.0716728759254325E-9</v>
      </c>
      <c r="L47" s="24">
        <v>8.4272277217684057E-9</v>
      </c>
      <c r="M47" s="24">
        <v>3.1656880770529777E-8</v>
      </c>
      <c r="N47" s="24">
        <v>1.1051154437191236E-7</v>
      </c>
      <c r="O47" s="24">
        <v>3.6039746359305105E-7</v>
      </c>
      <c r="P47" s="24">
        <v>1.1028549732575282E-6</v>
      </c>
      <c r="Q47" s="24">
        <v>3.1788475542531751E-6</v>
      </c>
      <c r="R47" s="24">
        <v>8.6590152968381976E-6</v>
      </c>
      <c r="S47" s="24">
        <v>2.2354756944285124E-5</v>
      </c>
      <c r="T47" s="24">
        <v>5.4838345772934813E-5</v>
      </c>
      <c r="U47" s="24">
        <v>1.2811558239632072E-4</v>
      </c>
      <c r="V47" s="24">
        <v>2.8563630489829327E-4</v>
      </c>
      <c r="W47" s="24">
        <v>6.0887113139990537E-4</v>
      </c>
      <c r="X47" s="24">
        <v>1.2430079993398849E-3</v>
      </c>
      <c r="Y47" s="24">
        <v>2.4340795912321943E-3</v>
      </c>
      <c r="Z47" s="24">
        <v>4.5785967522625863E-3</v>
      </c>
      <c r="AA47" s="24">
        <v>8.2841310267291433E-3</v>
      </c>
    </row>
    <row r="48" spans="1:27" x14ac:dyDescent="0.15">
      <c r="A48" s="2">
        <v>1.7999999999999976</v>
      </c>
      <c r="B48" s="24">
        <v>3.0076753034968873E-18</v>
      </c>
      <c r="C48" s="24">
        <v>8.4517354883407244E-17</v>
      </c>
      <c r="D48" s="24">
        <v>1.3219265031295039E-15</v>
      </c>
      <c r="E48" s="24">
        <v>1.4747286302299479E-14</v>
      </c>
      <c r="F48" s="24">
        <v>1.2994769455815727E-13</v>
      </c>
      <c r="G48" s="24">
        <v>9.5448039118519102E-13</v>
      </c>
      <c r="H48" s="24">
        <v>6.0438813664596008E-12</v>
      </c>
      <c r="I48" s="24">
        <v>3.3751189363157887E-11</v>
      </c>
      <c r="J48" s="24">
        <v>1.6897562776067939E-10</v>
      </c>
      <c r="K48" s="24">
        <v>7.6788089632454591E-10</v>
      </c>
      <c r="L48" s="24">
        <v>3.1980991494916207E-9</v>
      </c>
      <c r="M48" s="24">
        <v>1.230194231521422E-8</v>
      </c>
      <c r="N48" s="24">
        <v>4.3983094011435859E-8</v>
      </c>
      <c r="O48" s="24">
        <v>1.4693156352610949E-7</v>
      </c>
      <c r="P48" s="24">
        <v>4.6067666759015173E-7</v>
      </c>
      <c r="Q48" s="24">
        <v>1.3607750582933325E-6</v>
      </c>
      <c r="R48" s="24">
        <v>3.7994625034720911E-6</v>
      </c>
      <c r="S48" s="24">
        <v>1.0056840611920563E-5</v>
      </c>
      <c r="T48" s="24">
        <v>2.5299765172198758E-5</v>
      </c>
      <c r="U48" s="24">
        <v>6.0628653907305477E-5</v>
      </c>
      <c r="V48" s="24">
        <v>1.386871586438886E-4</v>
      </c>
      <c r="W48" s="24">
        <v>3.0338708140319008E-4</v>
      </c>
      <c r="X48" s="24">
        <v>6.3576193942881825E-4</v>
      </c>
      <c r="Y48" s="24">
        <v>1.2782083411151054E-3</v>
      </c>
      <c r="Z48" s="24">
        <v>2.4691044227161938E-3</v>
      </c>
      <c r="AA48" s="24">
        <v>4.5886405862529782E-3</v>
      </c>
    </row>
    <row r="49" spans="1:27" x14ac:dyDescent="0.15">
      <c r="A49" s="2">
        <v>1.8499999999999974</v>
      </c>
      <c r="B49" s="24">
        <v>8.9579849320525429E-19</v>
      </c>
      <c r="C49" s="24">
        <v>2.5871672065228109E-17</v>
      </c>
      <c r="D49" s="24">
        <v>4.1475327093278728E-16</v>
      </c>
      <c r="E49" s="24">
        <v>4.7382127256559375E-15</v>
      </c>
      <c r="F49" s="24">
        <v>4.273164865245762E-14</v>
      </c>
      <c r="G49" s="24">
        <v>3.2114706501486607E-13</v>
      </c>
      <c r="H49" s="24">
        <v>2.0803767868249356E-12</v>
      </c>
      <c r="I49" s="24">
        <v>1.1884513864715632E-11</v>
      </c>
      <c r="J49" s="24">
        <v>6.0867840652701092E-11</v>
      </c>
      <c r="K49" s="24">
        <v>2.8298067690987266E-10</v>
      </c>
      <c r="L49" s="24">
        <v>1.2058625457056205E-9</v>
      </c>
      <c r="M49" s="24">
        <v>4.7465674041464485E-9</v>
      </c>
      <c r="N49" s="24">
        <v>1.7368373016673424E-8</v>
      </c>
      <c r="O49" s="24">
        <v>5.9392487677108331E-8</v>
      </c>
      <c r="P49" s="24">
        <v>1.9065045977430299E-7</v>
      </c>
      <c r="Q49" s="24">
        <v>5.7668758650399963E-7</v>
      </c>
      <c r="R49" s="24">
        <v>1.6492267963856279E-6</v>
      </c>
      <c r="S49" s="24">
        <v>4.4721670434953077E-6</v>
      </c>
      <c r="T49" s="24">
        <v>1.1528355409923385E-5</v>
      </c>
      <c r="U49" s="24">
        <v>2.8315253916531724E-5</v>
      </c>
      <c r="V49" s="24">
        <v>6.6399970452196873E-5</v>
      </c>
      <c r="W49" s="24">
        <v>1.4894114036229956E-4</v>
      </c>
      <c r="X49" s="24">
        <v>3.2010581018345477E-4</v>
      </c>
      <c r="Y49" s="24">
        <v>6.6020004540228024E-4</v>
      </c>
      <c r="Z49" s="24">
        <v>1.3085155703427443E-3</v>
      </c>
      <c r="AA49" s="24">
        <v>2.4956076411948545E-3</v>
      </c>
    </row>
    <row r="50" spans="1:27" x14ac:dyDescent="0.15">
      <c r="A50" s="2">
        <v>1.8999999999999972</v>
      </c>
      <c r="B50" s="24">
        <v>2.6680238372002E-19</v>
      </c>
      <c r="C50" s="24">
        <v>7.9138123484227123E-18</v>
      </c>
      <c r="D50" s="24">
        <v>1.2995634749315852E-16</v>
      </c>
      <c r="E50" s="24">
        <v>1.519456803928268E-15</v>
      </c>
      <c r="F50" s="24">
        <v>1.4016911744702404E-14</v>
      </c>
      <c r="G50" s="24">
        <v>1.0772361869936249E-13</v>
      </c>
      <c r="H50" s="24">
        <v>7.134834186059838E-13</v>
      </c>
      <c r="I50" s="24">
        <v>4.1670728757409983E-12</v>
      </c>
      <c r="J50" s="24">
        <v>2.1819549647613014E-11</v>
      </c>
      <c r="K50" s="24">
        <v>1.0371582004325131E-10</v>
      </c>
      <c r="L50" s="24">
        <v>4.5191259896794293E-10</v>
      </c>
      <c r="M50" s="24">
        <v>1.8190963640068587E-9</v>
      </c>
      <c r="N50" s="24">
        <v>6.8079385585169906E-9</v>
      </c>
      <c r="O50" s="24">
        <v>2.3814292134810923E-8</v>
      </c>
      <c r="P50" s="24">
        <v>7.8211282044686324E-8</v>
      </c>
      <c r="Q50" s="24">
        <v>2.420909143453239E-7</v>
      </c>
      <c r="R50" s="24">
        <v>7.0861378534434484E-7</v>
      </c>
      <c r="S50" s="24">
        <v>1.9671008461342408E-6</v>
      </c>
      <c r="T50" s="24">
        <v>5.1921300940164086E-6</v>
      </c>
      <c r="U50" s="24">
        <v>1.3060500321697008E-5</v>
      </c>
      <c r="V50" s="24">
        <v>3.1373319000226414E-5</v>
      </c>
      <c r="W50" s="24">
        <v>7.210284233695394E-5</v>
      </c>
      <c r="X50" s="24">
        <v>1.5880618510077203E-4</v>
      </c>
      <c r="Y50" s="24">
        <v>3.3571831190078459E-4</v>
      </c>
      <c r="Z50" s="24">
        <v>6.8216793052018902E-4</v>
      </c>
      <c r="AA50" s="24">
        <v>1.3340932212976525E-3</v>
      </c>
    </row>
    <row r="51" spans="1:27" x14ac:dyDescent="0.15">
      <c r="A51" s="2">
        <v>1.9499999999999971</v>
      </c>
      <c r="B51" s="24">
        <v>7.9463754961211443E-20</v>
      </c>
      <c r="C51" s="24">
        <v>2.4190571928318597E-18</v>
      </c>
      <c r="D51" s="24">
        <v>4.0668572288392082E-17</v>
      </c>
      <c r="E51" s="24">
        <v>4.8637910088292566E-16</v>
      </c>
      <c r="F51" s="24">
        <v>4.5870208996342107E-15</v>
      </c>
      <c r="G51" s="24">
        <v>3.6029245566319561E-14</v>
      </c>
      <c r="H51" s="24">
        <v>2.4384975494117053E-13</v>
      </c>
      <c r="I51" s="24">
        <v>1.4552340545011962E-12</v>
      </c>
      <c r="J51" s="24">
        <v>7.7858666933069407E-12</v>
      </c>
      <c r="K51" s="24">
        <v>3.7816626828081486E-11</v>
      </c>
      <c r="L51" s="24">
        <v>1.6838432090389846E-10</v>
      </c>
      <c r="M51" s="24">
        <v>6.9272001022993481E-10</v>
      </c>
      <c r="N51" s="24">
        <v>2.6498894709119829E-9</v>
      </c>
      <c r="O51" s="24">
        <v>9.4759608516863333E-9</v>
      </c>
      <c r="P51" s="24">
        <v>3.1819856383780117E-8</v>
      </c>
      <c r="Q51" s="24">
        <v>1.0072227713696326E-7</v>
      </c>
      <c r="R51" s="24">
        <v>3.0154628475670606E-7</v>
      </c>
      <c r="S51" s="24">
        <v>8.5634870210984262E-7</v>
      </c>
      <c r="T51" s="24">
        <v>2.3127773535872514E-6</v>
      </c>
      <c r="U51" s="24">
        <v>5.953858196285812E-6</v>
      </c>
      <c r="V51" s="24">
        <v>1.4639847224131599E-5</v>
      </c>
      <c r="W51" s="24">
        <v>3.4447128700200464E-5</v>
      </c>
      <c r="X51" s="24">
        <v>7.7692533171558215E-5</v>
      </c>
      <c r="Y51" s="24">
        <v>1.6822235031901188E-4</v>
      </c>
      <c r="Z51" s="24">
        <v>3.5017138006404895E-4</v>
      </c>
      <c r="AA51" s="24">
        <v>7.0167801900007112E-4</v>
      </c>
    </row>
    <row r="52" spans="1:27" x14ac:dyDescent="0.15">
      <c r="A52" s="2">
        <v>1.9999999999999969</v>
      </c>
      <c r="B52" s="24">
        <v>2.3667286118259803E-20</v>
      </c>
      <c r="C52" s="24">
        <v>7.3895994530262445E-19</v>
      </c>
      <c r="D52" s="24">
        <v>1.2711611424411014E-17</v>
      </c>
      <c r="E52" s="24">
        <v>1.5542200792697777E-16</v>
      </c>
      <c r="F52" s="24">
        <v>1.497734489170155E-15</v>
      </c>
      <c r="G52" s="24">
        <v>1.201707650582891E-14</v>
      </c>
      <c r="H52" s="24">
        <v>8.3067649279160816E-14</v>
      </c>
      <c r="I52" s="24">
        <v>5.0626064177692895E-13</v>
      </c>
      <c r="J52" s="24">
        <v>2.7661277054068906E-12</v>
      </c>
      <c r="K52" s="24">
        <v>1.3720966232370822E-11</v>
      </c>
      <c r="L52" s="24">
        <v>6.2397648572556854E-11</v>
      </c>
      <c r="M52" s="24">
        <v>2.6219794778136956E-10</v>
      </c>
      <c r="N52" s="24">
        <v>1.0245998958425215E-9</v>
      </c>
      <c r="O52" s="24">
        <v>3.743369828548317E-9</v>
      </c>
      <c r="P52" s="24">
        <v>1.2844432932297207E-8</v>
      </c>
      <c r="Q52" s="24">
        <v>4.1551720575463349E-8</v>
      </c>
      <c r="R52" s="24">
        <v>1.2715629526577773E-7</v>
      </c>
      <c r="S52" s="24">
        <v>3.6917463627842439E-7</v>
      </c>
      <c r="T52" s="24">
        <v>1.0195105819477044E-6</v>
      </c>
      <c r="U52" s="24">
        <v>2.6841959262701492E-6</v>
      </c>
      <c r="V52" s="24">
        <v>6.7513754474467123E-6</v>
      </c>
      <c r="W52" s="24">
        <v>1.6252918193626444E-5</v>
      </c>
      <c r="X52" s="24">
        <v>3.7511347614149305E-5</v>
      </c>
      <c r="Y52" s="24">
        <v>8.3129254010162577E-5</v>
      </c>
      <c r="Z52" s="24">
        <v>1.7714060072330771E-4</v>
      </c>
      <c r="AA52" s="24">
        <v>3.6343046161595134E-4</v>
      </c>
    </row>
    <row r="53" spans="1:27" x14ac:dyDescent="0.15">
      <c r="A53" s="2">
        <v>2.0499999999999967</v>
      </c>
      <c r="B53" s="24">
        <v>7.049005329247204E-21</v>
      </c>
      <c r="C53" s="24">
        <v>2.2559223227679715E-19</v>
      </c>
      <c r="D53" s="24">
        <v>3.9686898158413983E-18</v>
      </c>
      <c r="E53" s="24">
        <v>4.9583449759366798E-17</v>
      </c>
      <c r="F53" s="24">
        <v>4.8799017900133684E-16</v>
      </c>
      <c r="G53" s="24">
        <v>3.9976016192934834E-15</v>
      </c>
      <c r="H53" s="24">
        <v>2.8208614797957712E-14</v>
      </c>
      <c r="I53" s="24">
        <v>1.7548338178256614E-13</v>
      </c>
      <c r="J53" s="24">
        <v>9.7866661196978952E-13</v>
      </c>
      <c r="K53" s="24">
        <v>4.9551476525687741E-12</v>
      </c>
      <c r="L53" s="24">
        <v>2.300239924939732E-11</v>
      </c>
      <c r="M53" s="24">
        <v>9.8674030576157993E-11</v>
      </c>
      <c r="N53" s="24">
        <v>3.9367853406209539E-10</v>
      </c>
      <c r="O53" s="24">
        <v>1.4686454907873794E-9</v>
      </c>
      <c r="P53" s="24">
        <v>5.1463018917528411E-9</v>
      </c>
      <c r="Q53" s="24">
        <v>1.7004342899782802E-8</v>
      </c>
      <c r="R53" s="24">
        <v>5.3157900553591684E-8</v>
      </c>
      <c r="S53" s="24">
        <v>1.5768589187765473E-7</v>
      </c>
      <c r="T53" s="24">
        <v>4.4499817038444994E-7</v>
      </c>
      <c r="U53" s="24">
        <v>1.1974642808681192E-6</v>
      </c>
      <c r="V53" s="24">
        <v>3.0789320069987549E-6</v>
      </c>
      <c r="W53" s="24">
        <v>7.5783902025648422E-6</v>
      </c>
      <c r="X53" s="24">
        <v>1.7886462855724605E-5</v>
      </c>
      <c r="Y53" s="24">
        <v>4.0542439380008247E-5</v>
      </c>
      <c r="Z53" s="24">
        <v>8.8378251843137544E-5</v>
      </c>
      <c r="AA53" s="24">
        <v>1.8552210058951437E-4</v>
      </c>
    </row>
    <row r="54" spans="1:27" x14ac:dyDescent="0.15">
      <c r="A54" s="2">
        <v>2.0999999999999965</v>
      </c>
      <c r="B54" s="24">
        <v>2.0994581247496634E-21</v>
      </c>
      <c r="C54" s="24">
        <v>6.8828602736368369E-20</v>
      </c>
      <c r="D54" s="24">
        <v>1.2377173303387309E-18</v>
      </c>
      <c r="E54" s="24">
        <v>1.5793581484592118E-17</v>
      </c>
      <c r="F54" s="24">
        <v>1.5867283904826392E-16</v>
      </c>
      <c r="G54" s="24">
        <v>1.3265105597742543E-15</v>
      </c>
      <c r="H54" s="24">
        <v>9.5507162855316266E-15</v>
      </c>
      <c r="I54" s="24">
        <v>6.0616854920291137E-14</v>
      </c>
      <c r="J54" s="24">
        <v>3.448902872405127E-13</v>
      </c>
      <c r="K54" s="24">
        <v>1.7815439644539589E-12</v>
      </c>
      <c r="L54" s="24">
        <v>8.4377468645558313E-12</v>
      </c>
      <c r="M54" s="24">
        <v>3.6931847132877746E-11</v>
      </c>
      <c r="N54" s="24">
        <v>1.5035762027979579E-10</v>
      </c>
      <c r="O54" s="24">
        <v>5.7244612681356529E-10</v>
      </c>
      <c r="P54" s="24">
        <v>2.0473941348623197E-9</v>
      </c>
      <c r="Q54" s="24">
        <v>6.9058053950068929E-9</v>
      </c>
      <c r="R54" s="24">
        <v>2.2041161882031965E-8</v>
      </c>
      <c r="S54" s="24">
        <v>6.6763476419685152E-8</v>
      </c>
      <c r="T54" s="24">
        <v>1.9242153078818016E-7</v>
      </c>
      <c r="U54" s="24">
        <v>5.2890691336891791E-7</v>
      </c>
      <c r="V54" s="24">
        <v>1.389348898048983E-6</v>
      </c>
      <c r="W54" s="24">
        <v>3.4942736351382162E-6</v>
      </c>
      <c r="X54" s="24">
        <v>8.4284491440893586E-6</v>
      </c>
      <c r="Y54" s="24">
        <v>1.9527684001010086E-5</v>
      </c>
      <c r="Z54" s="24">
        <v>4.351888191245644E-5</v>
      </c>
      <c r="AA54" s="24">
        <v>9.340974817850293E-5</v>
      </c>
    </row>
    <row r="55" spans="1:27" x14ac:dyDescent="0.15">
      <c r="A55" s="2">
        <v>2.1499999999999964</v>
      </c>
      <c r="B55" s="24">
        <v>6.2529735923012773E-22</v>
      </c>
      <c r="C55" s="24">
        <v>2.0987827990528659E-20</v>
      </c>
      <c r="D55" s="24">
        <v>3.8560699132048879E-19</v>
      </c>
      <c r="E55" s="24">
        <v>5.0231361428989498E-18</v>
      </c>
      <c r="F55" s="24">
        <v>5.1493154964655135E-17</v>
      </c>
      <c r="G55" s="24">
        <v>4.3911894613313382E-16</v>
      </c>
      <c r="H55" s="24">
        <v>3.2244382361262949E-15</v>
      </c>
      <c r="I55" s="24">
        <v>2.0869695451277393E-14</v>
      </c>
      <c r="J55" s="24">
        <v>1.2108517857543537E-13</v>
      </c>
      <c r="K55" s="24">
        <v>6.3781613533696308E-13</v>
      </c>
      <c r="L55" s="24">
        <v>3.080565124159358E-12</v>
      </c>
      <c r="M55" s="24">
        <v>1.375109753181583E-11</v>
      </c>
      <c r="N55" s="24">
        <v>5.7099310809220988E-11</v>
      </c>
      <c r="O55" s="24">
        <v>2.2174472761221674E-10</v>
      </c>
      <c r="P55" s="24">
        <v>8.090655410633971E-10</v>
      </c>
      <c r="Q55" s="24">
        <v>2.7842968391098643E-9</v>
      </c>
      <c r="R55" s="24">
        <v>9.0680553698525936E-9</v>
      </c>
      <c r="S55" s="24">
        <v>2.80323829511263E-8</v>
      </c>
      <c r="T55" s="24">
        <v>8.246729500503318E-8</v>
      </c>
      <c r="U55" s="24">
        <v>2.3140995965488309E-7</v>
      </c>
      <c r="V55" s="24">
        <v>6.2066619234937517E-7</v>
      </c>
      <c r="W55" s="24">
        <v>1.594108669784133E-6</v>
      </c>
      <c r="X55" s="24">
        <v>3.9272970449890341E-6</v>
      </c>
      <c r="Y55" s="24">
        <v>9.2950730513402691E-6</v>
      </c>
      <c r="Z55" s="24">
        <v>2.1164419951519461E-5</v>
      </c>
      <c r="AA55" s="24">
        <v>4.6421295261204322E-5</v>
      </c>
    </row>
    <row r="56" spans="1:27" x14ac:dyDescent="0.15">
      <c r="A56" s="2">
        <v>2.1999999999999962</v>
      </c>
      <c r="B56" s="24">
        <v>1.8623700222970326E-22</v>
      </c>
      <c r="C56" s="24">
        <v>6.3963334335274306E-21</v>
      </c>
      <c r="D56" s="24">
        <v>1.2001550755444025E-19</v>
      </c>
      <c r="E56" s="24">
        <v>1.5953222402299178E-18</v>
      </c>
      <c r="F56" s="24">
        <v>1.6679738535838024E-17</v>
      </c>
      <c r="G56" s="24">
        <v>1.4503080791215233E-16</v>
      </c>
      <c r="H56" s="24">
        <v>1.08565444200258E-15</v>
      </c>
      <c r="I56" s="24">
        <v>7.162572571957759E-15</v>
      </c>
      <c r="J56" s="24">
        <v>4.2358388340580645E-14</v>
      </c>
      <c r="K56" s="24">
        <v>2.2742491808261501E-13</v>
      </c>
      <c r="L56" s="24">
        <v>1.1196433737671226E-12</v>
      </c>
      <c r="M56" s="24">
        <v>5.0946852093224875E-12</v>
      </c>
      <c r="N56" s="24">
        <v>2.1566239766438449E-11</v>
      </c>
      <c r="O56" s="24">
        <v>8.5388760307790219E-11</v>
      </c>
      <c r="P56" s="24">
        <v>3.1767371364285915E-10</v>
      </c>
      <c r="Q56" s="24">
        <v>1.1148453329836887E-9</v>
      </c>
      <c r="R56" s="24">
        <v>3.7031408572343078E-9</v>
      </c>
      <c r="S56" s="24">
        <v>1.1677017595108118E-8</v>
      </c>
      <c r="T56" s="24">
        <v>3.5045408167734028E-8</v>
      </c>
      <c r="U56" s="24">
        <v>1.0033966569374475E-7</v>
      </c>
      <c r="V56" s="24">
        <v>2.7463465598854464E-7</v>
      </c>
      <c r="W56" s="24">
        <v>7.1992689590806403E-7</v>
      </c>
      <c r="X56" s="24">
        <v>1.8105258967668378E-6</v>
      </c>
      <c r="Y56" s="24">
        <v>4.374937891267613E-6</v>
      </c>
      <c r="Z56" s="24">
        <v>1.01718749911296E-5</v>
      </c>
      <c r="AA56" s="24">
        <v>2.2785282936154892E-5</v>
      </c>
    </row>
    <row r="57" spans="1:27" x14ac:dyDescent="0.15">
      <c r="A57" s="2">
        <v>2.249999999999996</v>
      </c>
      <c r="B57" s="24">
        <v>5.5468363151589239E-23</v>
      </c>
      <c r="C57" s="24">
        <v>1.948364958076595E-21</v>
      </c>
      <c r="D57" s="24">
        <v>3.731792644443535E-20</v>
      </c>
      <c r="E57" s="24">
        <v>5.059736062922066E-19</v>
      </c>
      <c r="F57" s="24">
        <v>5.3933271256851986E-18</v>
      </c>
      <c r="G57" s="24">
        <v>4.7795637726982749E-17</v>
      </c>
      <c r="H57" s="24">
        <v>3.6458632331597804E-16</v>
      </c>
      <c r="I57" s="24">
        <v>2.4508271654547146E-15</v>
      </c>
      <c r="J57" s="24">
        <v>1.4767119570197098E-14</v>
      </c>
      <c r="K57" s="24">
        <v>8.0779832219160266E-14</v>
      </c>
      <c r="L57" s="24">
        <v>4.0519377196894687E-13</v>
      </c>
      <c r="M57" s="24">
        <v>1.8786208971304443E-12</v>
      </c>
      <c r="N57" s="24">
        <v>8.103346298342478E-12</v>
      </c>
      <c r="O57" s="24">
        <v>3.2696067800809544E-11</v>
      </c>
      <c r="P57" s="24">
        <v>1.2397199193751516E-10</v>
      </c>
      <c r="Q57" s="24">
        <v>4.4345748689276626E-10</v>
      </c>
      <c r="R57" s="24">
        <v>1.5016003782767862E-9</v>
      </c>
      <c r="S57" s="24">
        <v>4.8274515660674763E-9</v>
      </c>
      <c r="T57" s="24">
        <v>1.4773276408073747E-8</v>
      </c>
      <c r="U57" s="24">
        <v>4.3135828234556659E-8</v>
      </c>
      <c r="V57" s="24">
        <v>1.2042105470440981E-7</v>
      </c>
      <c r="W57" s="24">
        <v>3.2201800733753219E-7</v>
      </c>
      <c r="X57" s="24">
        <v>8.2623787356248057E-7</v>
      </c>
      <c r="Y57" s="24">
        <v>2.0372542148343102E-6</v>
      </c>
      <c r="Z57" s="24">
        <v>4.8340570992255119E-6</v>
      </c>
      <c r="AA57" s="24">
        <v>1.105265941360945E-5</v>
      </c>
    </row>
    <row r="58" spans="1:27" x14ac:dyDescent="0.15">
      <c r="A58" s="2">
        <v>2.2999999999999958</v>
      </c>
      <c r="B58" s="24">
        <v>1.6520558610161457E-23</v>
      </c>
      <c r="C58" s="24">
        <v>5.9319161816116315E-22</v>
      </c>
      <c r="D58" s="24">
        <v>1.1593184865338405E-20</v>
      </c>
      <c r="E58" s="24">
        <v>1.6026488746957159E-19</v>
      </c>
      <c r="F58" s="24">
        <v>1.7409439095172773E-18</v>
      </c>
      <c r="G58" s="24">
        <v>1.57183379038126E-17</v>
      </c>
      <c r="H58" s="24">
        <v>1.2213179001082721E-16</v>
      </c>
      <c r="I58" s="24">
        <v>8.3618732167019581E-16</v>
      </c>
      <c r="J58" s="24">
        <v>5.1312710379783097E-15</v>
      </c>
      <c r="K58" s="24">
        <v>2.8586677712778237E-14</v>
      </c>
      <c r="L58" s="24">
        <v>1.4603665638674308E-13</v>
      </c>
      <c r="M58" s="24">
        <v>6.8959517299474764E-13</v>
      </c>
      <c r="N58" s="24">
        <v>3.0297139973923635E-12</v>
      </c>
      <c r="O58" s="24">
        <v>1.2452262541633522E-11</v>
      </c>
      <c r="P58" s="24">
        <v>4.8098445773580622E-11</v>
      </c>
      <c r="Q58" s="24">
        <v>1.7529045892547145E-10</v>
      </c>
      <c r="R58" s="24">
        <v>6.0479424792201647E-10</v>
      </c>
      <c r="S58" s="24">
        <v>1.9813890712238709E-9</v>
      </c>
      <c r="T58" s="24">
        <v>6.1799016366355297E-9</v>
      </c>
      <c r="U58" s="24">
        <v>1.8392992405002734E-8</v>
      </c>
      <c r="V58" s="24">
        <v>5.2346131279567324E-8</v>
      </c>
      <c r="W58" s="24">
        <v>1.4272169619662497E-7</v>
      </c>
      <c r="X58" s="24">
        <v>3.7342495934041397E-7</v>
      </c>
      <c r="Y58" s="24">
        <v>9.3905967044513197E-7</v>
      </c>
      <c r="Z58" s="24">
        <v>2.272851257883194E-6</v>
      </c>
      <c r="AA58" s="24">
        <v>5.3014999075431122E-6</v>
      </c>
    </row>
    <row r="59" spans="1:27" x14ac:dyDescent="0.15">
      <c r="A59" s="2">
        <v>2.3499999999999956</v>
      </c>
      <c r="B59" s="24">
        <v>4.9204418750539642E-24</v>
      </c>
      <c r="C59" s="24">
        <v>1.8051546310829448E-22</v>
      </c>
      <c r="D59" s="24">
        <v>3.5984004922796727E-21</v>
      </c>
      <c r="E59" s="24">
        <v>5.0699480469752307E-20</v>
      </c>
      <c r="F59" s="24">
        <v>5.6105305228223477E-19</v>
      </c>
      <c r="G59" s="24">
        <v>5.1588539768763857E-18</v>
      </c>
      <c r="H59" s="24">
        <v>4.0815201331033596E-17</v>
      </c>
      <c r="I59" s="24">
        <v>2.8450806412970273E-16</v>
      </c>
      <c r="J59" s="24">
        <v>1.7774098163619919E-15</v>
      </c>
      <c r="K59" s="24">
        <v>1.008065915530868E-14</v>
      </c>
      <c r="L59" s="24">
        <v>5.2426876379552237E-14</v>
      </c>
      <c r="M59" s="24">
        <v>2.520391104080157E-13</v>
      </c>
      <c r="N59" s="24">
        <v>1.1274057544363149E-12</v>
      </c>
      <c r="O59" s="24">
        <v>4.7180443780025094E-12</v>
      </c>
      <c r="P59" s="24">
        <v>1.8557350325801318E-11</v>
      </c>
      <c r="Q59" s="24">
        <v>6.8873987885081509E-11</v>
      </c>
      <c r="R59" s="24">
        <v>2.4202572129717471E-10</v>
      </c>
      <c r="S59" s="24">
        <v>8.0766044569368286E-10</v>
      </c>
      <c r="T59" s="24">
        <v>2.5662375191783674E-9</v>
      </c>
      <c r="U59" s="24">
        <v>7.7817498564623339E-9</v>
      </c>
      <c r="V59" s="24">
        <v>2.2567021706484234E-8</v>
      </c>
      <c r="W59" s="24">
        <v>6.2704840465733277E-8</v>
      </c>
      <c r="X59" s="24">
        <v>1.6722203793451217E-7</v>
      </c>
      <c r="Y59" s="24">
        <v>4.286677932470798E-7</v>
      </c>
      <c r="Z59" s="24">
        <v>1.0577790177079652E-6</v>
      </c>
      <c r="AA59" s="24">
        <v>2.5158097147857484E-6</v>
      </c>
    </row>
    <row r="60" spans="1:27" x14ac:dyDescent="0.15">
      <c r="A60" s="2">
        <v>2.3999999999999955</v>
      </c>
      <c r="B60" s="24">
        <v>1.4654921069613851E-24</v>
      </c>
      <c r="C60" s="24">
        <v>5.4908194972102137E-23</v>
      </c>
      <c r="D60" s="24">
        <v>1.115971429695483E-21</v>
      </c>
      <c r="E60" s="24">
        <v>1.6019366028631313E-20</v>
      </c>
      <c r="F60" s="24">
        <v>1.805273319931559E-19</v>
      </c>
      <c r="G60" s="24">
        <v>1.6899102311508487E-18</v>
      </c>
      <c r="H60" s="24">
        <v>1.3608882938780452E-17</v>
      </c>
      <c r="I60" s="24">
        <v>9.6546207605671644E-17</v>
      </c>
      <c r="J60" s="24">
        <v>6.1381916742435863E-16</v>
      </c>
      <c r="K60" s="24">
        <v>3.5427699314620628E-15</v>
      </c>
      <c r="L60" s="24">
        <v>1.8750420660175429E-14</v>
      </c>
      <c r="M60" s="24">
        <v>9.1736078257373136E-14</v>
      </c>
      <c r="N60" s="24">
        <v>4.1762664991545329E-13</v>
      </c>
      <c r="O60" s="24">
        <v>1.7788244496364437E-12</v>
      </c>
      <c r="P60" s="24">
        <v>7.1216925669914142E-12</v>
      </c>
      <c r="Q60" s="24">
        <v>2.6906456597655961E-11</v>
      </c>
      <c r="R60" s="24">
        <v>9.6258402616498597E-11</v>
      </c>
      <c r="S60" s="24">
        <v>3.2705964971085219E-10</v>
      </c>
      <c r="T60" s="24">
        <v>1.0581908494769087E-9</v>
      </c>
      <c r="U60" s="24">
        <v>3.2678619682596139E-9</v>
      </c>
      <c r="V60" s="24">
        <v>9.652329576136584E-9</v>
      </c>
      <c r="W60" s="24">
        <v>2.7320213471396957E-8</v>
      </c>
      <c r="X60" s="24">
        <v>7.4226069458013642E-8</v>
      </c>
      <c r="Y60" s="24">
        <v>1.9387390063493692E-7</v>
      </c>
      <c r="Z60" s="24">
        <v>4.8751174756028046E-7</v>
      </c>
      <c r="AA60" s="24">
        <v>1.1817234997979032E-6</v>
      </c>
    </row>
    <row r="61" spans="1:27" x14ac:dyDescent="0.15">
      <c r="A61" s="2">
        <v>2.4499999999999953</v>
      </c>
      <c r="B61" s="24">
        <v>4.3647850540711157E-25</v>
      </c>
      <c r="C61" s="24">
        <v>1.6694422010003541E-23</v>
      </c>
      <c r="D61" s="24">
        <v>3.4581827663891767E-22</v>
      </c>
      <c r="E61" s="24">
        <v>5.055738299614426E-21</v>
      </c>
      <c r="F61" s="24">
        <v>5.8000120331844321E-20</v>
      </c>
      <c r="G61" s="24">
        <v>5.5254949775270231E-19</v>
      </c>
      <c r="H61" s="24">
        <v>4.5276220633089925E-18</v>
      </c>
      <c r="I61" s="24">
        <v>3.2679240929391098E-17</v>
      </c>
      <c r="J61" s="24">
        <v>2.1136682812380527E-16</v>
      </c>
      <c r="K61" s="24">
        <v>1.2410405783941147E-15</v>
      </c>
      <c r="L61" s="24">
        <v>6.6819063612204187E-15</v>
      </c>
      <c r="M61" s="24">
        <v>3.3257199992586097E-14</v>
      </c>
      <c r="N61" s="24">
        <v>1.5403089784045494E-13</v>
      </c>
      <c r="O61" s="24">
        <v>6.6750049079311367E-13</v>
      </c>
      <c r="P61" s="24">
        <v>2.7191358303286733E-12</v>
      </c>
      <c r="Q61" s="24">
        <v>1.045366041157564E-11</v>
      </c>
      <c r="R61" s="24">
        <v>3.805867762237525E-11</v>
      </c>
      <c r="S61" s="24">
        <v>1.316095682398084E-10</v>
      </c>
      <c r="T61" s="24">
        <v>4.3342607239159162E-10</v>
      </c>
      <c r="U61" s="24">
        <v>1.3625507150617709E-9</v>
      </c>
      <c r="V61" s="24">
        <v>4.09740014280946E-9</v>
      </c>
      <c r="W61" s="24">
        <v>1.1808601163261195E-8</v>
      </c>
      <c r="X61" s="24">
        <v>3.267089481846301E-8</v>
      </c>
      <c r="Y61" s="24">
        <v>8.6909464023479452E-8</v>
      </c>
      <c r="Z61" s="24">
        <v>2.2260223340484956E-7</v>
      </c>
      <c r="AA61" s="24">
        <v>5.4968119258029112E-7</v>
      </c>
    </row>
    <row r="62" spans="1:27" x14ac:dyDescent="0.15">
      <c r="A62" s="2">
        <v>2.4999999999999951</v>
      </c>
      <c r="B62" s="24">
        <v>1.2999966685419057E-25</v>
      </c>
      <c r="C62" s="24">
        <v>5.073698893269825E-24</v>
      </c>
      <c r="D62" s="24">
        <v>1.0707983510910521E-22</v>
      </c>
      <c r="E62" s="24">
        <v>1.5938256930243543E-21</v>
      </c>
      <c r="F62" s="24">
        <v>1.8607461754043183E-20</v>
      </c>
      <c r="G62" s="24">
        <v>1.8034631479392252E-19</v>
      </c>
      <c r="H62" s="24">
        <v>1.5031504717294389E-18</v>
      </c>
      <c r="I62" s="24">
        <v>1.103439328781648E-17</v>
      </c>
      <c r="J62" s="24">
        <v>7.2581634377755703E-17</v>
      </c>
      <c r="K62" s="24">
        <v>4.333856918636485E-16</v>
      </c>
      <c r="L62" s="24">
        <v>2.3729322361232252E-15</v>
      </c>
      <c r="M62" s="24">
        <v>1.2010873698799238E-14</v>
      </c>
      <c r="N62" s="24">
        <v>5.6573932399872499E-14</v>
      </c>
      <c r="O62" s="24">
        <v>2.4934574760550606E-13</v>
      </c>
      <c r="P62" s="24">
        <v>1.033120307473787E-12</v>
      </c>
      <c r="Q62" s="24">
        <v>4.0400839592190787E-12</v>
      </c>
      <c r="R62" s="24">
        <v>1.4962838632358908E-11</v>
      </c>
      <c r="S62" s="24">
        <v>5.2641183246268176E-11</v>
      </c>
      <c r="T62" s="24">
        <v>1.7638979536825664E-10</v>
      </c>
      <c r="U62" s="24">
        <v>5.6425581648309787E-10</v>
      </c>
      <c r="V62" s="24">
        <v>1.7268051192391708E-9</v>
      </c>
      <c r="W62" s="24">
        <v>5.065160393158969E-9</v>
      </c>
      <c r="X62" s="24">
        <v>1.4264779109207175E-8</v>
      </c>
      <c r="Y62" s="24">
        <v>3.8630541878882305E-8</v>
      </c>
      <c r="Z62" s="24">
        <v>1.0074049127409215E-7</v>
      </c>
      <c r="AA62" s="24">
        <v>2.533073372890742E-7</v>
      </c>
    </row>
    <row r="63" spans="1:27" x14ac:dyDescent="0.15">
      <c r="B63" s="12"/>
      <c r="C63" s="12"/>
      <c r="D63" s="12"/>
      <c r="G63" s="12"/>
    </row>
    <row r="64" spans="1:27" x14ac:dyDescent="0.15">
      <c r="B64" s="12"/>
      <c r="C64" s="12"/>
      <c r="D64" s="12"/>
      <c r="G64" s="12"/>
    </row>
    <row r="65" spans="2:7" x14ac:dyDescent="0.15">
      <c r="B65" s="12"/>
      <c r="C65" s="12"/>
      <c r="D65" s="12"/>
      <c r="G65" s="12"/>
    </row>
    <row r="66" spans="2:7" x14ac:dyDescent="0.15">
      <c r="B66" s="12"/>
      <c r="C66" s="12"/>
      <c r="D66" s="12"/>
      <c r="G66" s="12"/>
    </row>
    <row r="67" spans="2:7" x14ac:dyDescent="0.15">
      <c r="B67" s="12"/>
      <c r="C67" s="12"/>
      <c r="D67" s="12"/>
      <c r="G67" s="12"/>
    </row>
    <row r="68" spans="2:7" x14ac:dyDescent="0.15">
      <c r="B68" s="12"/>
      <c r="C68" s="12"/>
      <c r="D68" s="12"/>
      <c r="G68" s="12"/>
    </row>
    <row r="69" spans="2:7" x14ac:dyDescent="0.15">
      <c r="B69" s="12"/>
      <c r="C69" s="12"/>
      <c r="D69" s="12"/>
      <c r="G69" s="12"/>
    </row>
    <row r="70" spans="2:7" x14ac:dyDescent="0.15">
      <c r="B70" s="12"/>
      <c r="C70" s="12"/>
      <c r="D70" s="12"/>
      <c r="G70" s="12"/>
    </row>
    <row r="71" spans="2:7" x14ac:dyDescent="0.15">
      <c r="B71" s="12"/>
      <c r="C71" s="12"/>
      <c r="D71" s="12"/>
      <c r="G71" s="12"/>
    </row>
    <row r="72" spans="2:7" x14ac:dyDescent="0.15">
      <c r="B72" s="12"/>
      <c r="C72" s="12"/>
      <c r="D72" s="12"/>
      <c r="G72" s="12"/>
    </row>
    <row r="73" spans="2:7" x14ac:dyDescent="0.15">
      <c r="B73" s="12"/>
      <c r="C73" s="12"/>
      <c r="D73" s="12"/>
      <c r="G73" s="12"/>
    </row>
    <row r="74" spans="2:7" x14ac:dyDescent="0.15">
      <c r="B74" s="12"/>
      <c r="C74" s="12"/>
      <c r="D74" s="12"/>
      <c r="G74" s="12"/>
    </row>
    <row r="75" spans="2:7" x14ac:dyDescent="0.15">
      <c r="B75" s="12"/>
      <c r="C75" s="12"/>
      <c r="D75" s="12"/>
      <c r="G75" s="12"/>
    </row>
    <row r="76" spans="2:7" x14ac:dyDescent="0.15">
      <c r="B76" s="12"/>
      <c r="C76" s="12"/>
      <c r="D76" s="12"/>
      <c r="G76" s="12"/>
    </row>
    <row r="77" spans="2:7" x14ac:dyDescent="0.15">
      <c r="B77" s="12"/>
      <c r="C77" s="12"/>
      <c r="D77" s="12"/>
      <c r="G77" s="12"/>
    </row>
    <row r="78" spans="2:7" x14ac:dyDescent="0.15">
      <c r="B78" s="12"/>
      <c r="C78" s="12"/>
      <c r="D78" s="12"/>
      <c r="G78" s="12"/>
    </row>
    <row r="79" spans="2:7" x14ac:dyDescent="0.15">
      <c r="B79" s="12"/>
      <c r="C79" s="12"/>
      <c r="D79" s="12"/>
      <c r="G79" s="12"/>
    </row>
    <row r="80" spans="2:7" x14ac:dyDescent="0.15">
      <c r="B80" s="12"/>
      <c r="C80" s="12"/>
      <c r="D80" s="12"/>
      <c r="G80" s="12"/>
    </row>
    <row r="81" spans="2:7" x14ac:dyDescent="0.15">
      <c r="B81" s="12"/>
      <c r="C81" s="12"/>
      <c r="D81" s="12"/>
      <c r="G81" s="12"/>
    </row>
    <row r="82" spans="2:7" x14ac:dyDescent="0.15">
      <c r="B82" s="12"/>
      <c r="C82" s="12"/>
      <c r="D82" s="12"/>
      <c r="G82" s="12"/>
    </row>
    <row r="83" spans="2:7" x14ac:dyDescent="0.15">
      <c r="B83" s="12"/>
      <c r="C83" s="12"/>
      <c r="D83" s="12"/>
      <c r="G83" s="12"/>
    </row>
    <row r="84" spans="2:7" x14ac:dyDescent="0.15">
      <c r="B84" s="12"/>
      <c r="C84" s="12"/>
      <c r="D84" s="12"/>
      <c r="G84" s="12"/>
    </row>
    <row r="85" spans="2:7" x14ac:dyDescent="0.15">
      <c r="B85" s="12"/>
      <c r="C85" s="12"/>
      <c r="D85" s="12"/>
      <c r="G85" s="12"/>
    </row>
    <row r="86" spans="2:7" x14ac:dyDescent="0.15">
      <c r="B86" s="12"/>
      <c r="C86" s="12"/>
      <c r="D86" s="12"/>
      <c r="G86" s="12"/>
    </row>
    <row r="87" spans="2:7" x14ac:dyDescent="0.15">
      <c r="B87" s="12"/>
      <c r="C87" s="12"/>
      <c r="D87" s="12"/>
      <c r="G87" s="12"/>
    </row>
    <row r="88" spans="2:7" x14ac:dyDescent="0.15">
      <c r="B88" s="12"/>
      <c r="C88" s="12"/>
      <c r="D88" s="12"/>
      <c r="G88" s="12"/>
    </row>
    <row r="89" spans="2:7" x14ac:dyDescent="0.15">
      <c r="B89" s="12"/>
      <c r="C89" s="12"/>
      <c r="D89" s="12"/>
      <c r="G89" s="12"/>
    </row>
    <row r="90" spans="2:7" x14ac:dyDescent="0.15">
      <c r="B90" s="12"/>
      <c r="C90" s="12"/>
      <c r="D90" s="12"/>
      <c r="G90" s="12"/>
    </row>
    <row r="91" spans="2:7" x14ac:dyDescent="0.15">
      <c r="B91" s="12"/>
      <c r="C91" s="12"/>
      <c r="D91" s="12"/>
      <c r="G91" s="12"/>
    </row>
    <row r="92" spans="2:7" x14ac:dyDescent="0.15">
      <c r="B92" s="12"/>
      <c r="C92" s="12"/>
      <c r="D92" s="12"/>
      <c r="G92" s="12"/>
    </row>
    <row r="93" spans="2:7" x14ac:dyDescent="0.15">
      <c r="B93" s="12"/>
      <c r="C93" s="12"/>
      <c r="D93" s="12"/>
      <c r="G93" s="12"/>
    </row>
    <row r="94" spans="2:7" x14ac:dyDescent="0.15">
      <c r="B94" s="12"/>
      <c r="C94" s="12"/>
      <c r="D94" s="12"/>
      <c r="G94" s="12"/>
    </row>
    <row r="95" spans="2:7" x14ac:dyDescent="0.15">
      <c r="B95" s="12"/>
      <c r="C95" s="12"/>
      <c r="D95" s="12"/>
      <c r="G95" s="12"/>
    </row>
    <row r="96" spans="2:7" x14ac:dyDescent="0.15">
      <c r="B96" s="12"/>
      <c r="C96" s="12"/>
      <c r="D96" s="12"/>
      <c r="G96" s="12"/>
    </row>
    <row r="97" spans="2:7" x14ac:dyDescent="0.15">
      <c r="B97" s="12"/>
      <c r="C97" s="12"/>
      <c r="D97" s="12"/>
      <c r="G97" s="12"/>
    </row>
    <row r="98" spans="2:7" x14ac:dyDescent="0.15">
      <c r="B98" s="12"/>
      <c r="C98" s="12"/>
      <c r="D98" s="12"/>
      <c r="G98" s="12"/>
    </row>
    <row r="99" spans="2:7" x14ac:dyDescent="0.15">
      <c r="B99" s="12"/>
      <c r="C99" s="12"/>
      <c r="D99" s="12"/>
      <c r="G99" s="12"/>
    </row>
    <row r="100" spans="2:7" x14ac:dyDescent="0.15">
      <c r="B100" s="12"/>
      <c r="C100" s="12"/>
      <c r="D100" s="12"/>
      <c r="G100" s="12"/>
    </row>
    <row r="101" spans="2:7" x14ac:dyDescent="0.15">
      <c r="B101" s="12"/>
      <c r="C101" s="12"/>
      <c r="D101" s="12"/>
      <c r="G101" s="12"/>
    </row>
    <row r="102" spans="2:7" x14ac:dyDescent="0.15">
      <c r="B102" s="12"/>
      <c r="C102" s="12"/>
      <c r="D102" s="12"/>
      <c r="G102" s="12"/>
    </row>
    <row r="103" spans="2:7" x14ac:dyDescent="0.15">
      <c r="B103" s="12"/>
      <c r="C103" s="12"/>
      <c r="D103" s="12"/>
      <c r="G103" s="12"/>
    </row>
    <row r="104" spans="2:7" x14ac:dyDescent="0.15">
      <c r="B104" s="12"/>
      <c r="C104" s="12"/>
      <c r="D104" s="12"/>
      <c r="G104" s="12"/>
    </row>
    <row r="105" spans="2:7" x14ac:dyDescent="0.15">
      <c r="B105" s="12"/>
      <c r="C105" s="12"/>
      <c r="D105" s="12"/>
      <c r="G105" s="12"/>
    </row>
    <row r="106" spans="2:7" x14ac:dyDescent="0.15">
      <c r="B106" s="12"/>
      <c r="C106" s="12"/>
      <c r="D106" s="12"/>
      <c r="G106" s="12"/>
    </row>
    <row r="107" spans="2:7" x14ac:dyDescent="0.15">
      <c r="B107" s="12"/>
      <c r="C107" s="12"/>
      <c r="D107" s="12"/>
      <c r="G107" s="12"/>
    </row>
    <row r="108" spans="2:7" x14ac:dyDescent="0.15">
      <c r="B108" s="12"/>
      <c r="C108" s="12"/>
      <c r="D108" s="12"/>
      <c r="G108" s="12"/>
    </row>
    <row r="109" spans="2:7" x14ac:dyDescent="0.15">
      <c r="B109" s="12"/>
      <c r="C109" s="12"/>
      <c r="D109" s="12"/>
      <c r="G109" s="12"/>
    </row>
    <row r="110" spans="2:7" x14ac:dyDescent="0.15">
      <c r="B110" s="12"/>
      <c r="C110" s="12"/>
      <c r="D110" s="12"/>
      <c r="G110" s="12"/>
    </row>
    <row r="111" spans="2:7" x14ac:dyDescent="0.15">
      <c r="B111" s="12"/>
      <c r="C111" s="12"/>
      <c r="D111" s="12"/>
      <c r="G111" s="12"/>
    </row>
    <row r="112" spans="2:7" x14ac:dyDescent="0.15">
      <c r="B112" s="12"/>
      <c r="C112" s="12"/>
      <c r="D112" s="12"/>
      <c r="G112" s="12"/>
    </row>
    <row r="113" spans="2:7" x14ac:dyDescent="0.15">
      <c r="B113" s="12"/>
      <c r="C113" s="12"/>
      <c r="D113" s="12"/>
      <c r="G113" s="12"/>
    </row>
    <row r="114" spans="2:7" x14ac:dyDescent="0.15">
      <c r="B114" s="12"/>
      <c r="C114" s="12"/>
      <c r="D114" s="12"/>
      <c r="G114" s="12"/>
    </row>
    <row r="115" spans="2:7" x14ac:dyDescent="0.15">
      <c r="B115" s="12"/>
      <c r="C115" s="12"/>
      <c r="D115" s="12"/>
      <c r="G115" s="12"/>
    </row>
    <row r="116" spans="2:7" x14ac:dyDescent="0.15">
      <c r="B116" s="12"/>
      <c r="C116" s="12"/>
      <c r="D116" s="12"/>
      <c r="G116" s="12"/>
    </row>
    <row r="117" spans="2:7" x14ac:dyDescent="0.15">
      <c r="B117" s="12"/>
      <c r="C117" s="12"/>
      <c r="D117" s="12"/>
      <c r="G117" s="12"/>
    </row>
    <row r="118" spans="2:7" x14ac:dyDescent="0.15">
      <c r="B118" s="12"/>
      <c r="C118" s="12"/>
      <c r="D118" s="12"/>
      <c r="G118" s="12"/>
    </row>
    <row r="119" spans="2:7" x14ac:dyDescent="0.15">
      <c r="B119" s="12"/>
      <c r="C119" s="12"/>
      <c r="D119" s="12"/>
      <c r="G119" s="12"/>
    </row>
    <row r="120" spans="2:7" x14ac:dyDescent="0.15">
      <c r="B120" s="12"/>
      <c r="C120" s="12"/>
      <c r="D120" s="12"/>
      <c r="G120" s="12"/>
    </row>
    <row r="121" spans="2:7" x14ac:dyDescent="0.15">
      <c r="B121" s="12"/>
      <c r="C121" s="12"/>
      <c r="D121" s="12"/>
      <c r="G121" s="12"/>
    </row>
    <row r="122" spans="2:7" x14ac:dyDescent="0.15">
      <c r="B122" s="12"/>
      <c r="C122" s="12"/>
      <c r="D122" s="12"/>
      <c r="G122" s="12"/>
    </row>
    <row r="123" spans="2:7" x14ac:dyDescent="0.15">
      <c r="B123" s="12"/>
      <c r="C123" s="12"/>
      <c r="D123" s="12"/>
      <c r="G123" s="12"/>
    </row>
    <row r="124" spans="2:7" x14ac:dyDescent="0.15">
      <c r="B124" s="12"/>
      <c r="C124" s="12"/>
      <c r="D124" s="12"/>
      <c r="G124" s="12"/>
    </row>
    <row r="125" spans="2:7" x14ac:dyDescent="0.15">
      <c r="B125" s="12"/>
      <c r="C125" s="12"/>
      <c r="D125" s="12"/>
      <c r="G125" s="12"/>
    </row>
    <row r="126" spans="2:7" x14ac:dyDescent="0.15">
      <c r="B126" s="12"/>
      <c r="C126" s="12"/>
      <c r="D126" s="12"/>
      <c r="G126" s="12"/>
    </row>
    <row r="127" spans="2:7" x14ac:dyDescent="0.15">
      <c r="B127" s="12"/>
      <c r="C127" s="12"/>
      <c r="D127" s="12"/>
      <c r="G127" s="12"/>
    </row>
    <row r="128" spans="2:7" x14ac:dyDescent="0.15">
      <c r="B128" s="12"/>
      <c r="C128" s="12"/>
      <c r="D128" s="12"/>
      <c r="G128" s="12"/>
    </row>
    <row r="129" spans="2:7" x14ac:dyDescent="0.15">
      <c r="B129" s="12"/>
      <c r="C129" s="12"/>
      <c r="D129" s="12"/>
      <c r="G129" s="12"/>
    </row>
    <row r="130" spans="2:7" x14ac:dyDescent="0.15">
      <c r="B130" s="12"/>
      <c r="C130" s="12"/>
      <c r="D130" s="12"/>
      <c r="G130" s="12"/>
    </row>
    <row r="131" spans="2:7" x14ac:dyDescent="0.15">
      <c r="B131" s="12"/>
      <c r="C131" s="12"/>
      <c r="D131" s="12"/>
      <c r="G131" s="12"/>
    </row>
    <row r="132" spans="2:7" x14ac:dyDescent="0.15">
      <c r="B132" s="12"/>
      <c r="C132" s="12"/>
      <c r="D132" s="12"/>
      <c r="G132" s="12"/>
    </row>
    <row r="133" spans="2:7" x14ac:dyDescent="0.15">
      <c r="B133" s="12"/>
      <c r="C133" s="12"/>
      <c r="D133" s="12"/>
      <c r="G133" s="12"/>
    </row>
    <row r="134" spans="2:7" x14ac:dyDescent="0.15">
      <c r="B134" s="12"/>
      <c r="C134" s="12"/>
      <c r="D134" s="12"/>
      <c r="G134" s="12"/>
    </row>
    <row r="135" spans="2:7" x14ac:dyDescent="0.15">
      <c r="B135" s="12"/>
      <c r="C135" s="12"/>
      <c r="D135" s="12"/>
      <c r="G135" s="12"/>
    </row>
    <row r="136" spans="2:7" x14ac:dyDescent="0.15">
      <c r="B136" s="12"/>
      <c r="C136" s="12"/>
      <c r="D136" s="12"/>
      <c r="G136" s="12"/>
    </row>
    <row r="137" spans="2:7" x14ac:dyDescent="0.15">
      <c r="B137" s="12"/>
      <c r="C137" s="12"/>
      <c r="D137" s="12"/>
      <c r="G137" s="12"/>
    </row>
    <row r="138" spans="2:7" x14ac:dyDescent="0.15">
      <c r="B138" s="12"/>
      <c r="C138" s="12"/>
      <c r="D138" s="12"/>
      <c r="G138" s="12"/>
    </row>
    <row r="139" spans="2:7" x14ac:dyDescent="0.15">
      <c r="B139" s="12"/>
      <c r="C139" s="12"/>
      <c r="D139" s="12"/>
      <c r="G139" s="12"/>
    </row>
    <row r="140" spans="2:7" x14ac:dyDescent="0.15">
      <c r="B140" s="12"/>
      <c r="C140" s="12"/>
      <c r="D140" s="12"/>
      <c r="G140" s="12"/>
    </row>
    <row r="141" spans="2:7" x14ac:dyDescent="0.15">
      <c r="B141" s="12"/>
      <c r="C141" s="12"/>
      <c r="D141" s="12"/>
      <c r="G141" s="12"/>
    </row>
    <row r="142" spans="2:7" x14ac:dyDescent="0.15">
      <c r="B142" s="12"/>
      <c r="C142" s="12"/>
      <c r="D142" s="12"/>
      <c r="G142" s="12"/>
    </row>
    <row r="143" spans="2:7" x14ac:dyDescent="0.15">
      <c r="B143" s="12"/>
      <c r="C143" s="12"/>
      <c r="D143" s="12"/>
      <c r="G143" s="12"/>
    </row>
    <row r="144" spans="2:7" x14ac:dyDescent="0.15">
      <c r="B144" s="12"/>
      <c r="C144" s="12"/>
      <c r="D144" s="12"/>
      <c r="G144" s="12"/>
    </row>
    <row r="145" spans="2:7" x14ac:dyDescent="0.15">
      <c r="B145" s="12"/>
      <c r="C145" s="12"/>
      <c r="D145" s="12"/>
      <c r="G145" s="12"/>
    </row>
    <row r="146" spans="2:7" x14ac:dyDescent="0.15">
      <c r="B146" s="12"/>
      <c r="C146" s="12"/>
      <c r="D146" s="12"/>
      <c r="G146" s="12"/>
    </row>
    <row r="147" spans="2:7" x14ac:dyDescent="0.15">
      <c r="B147" s="12"/>
      <c r="C147" s="12"/>
      <c r="D147" s="12"/>
      <c r="G147" s="12"/>
    </row>
    <row r="148" spans="2:7" x14ac:dyDescent="0.15">
      <c r="B148" s="12"/>
      <c r="C148" s="12"/>
      <c r="D148" s="12"/>
      <c r="G148" s="12"/>
    </row>
    <row r="149" spans="2:7" x14ac:dyDescent="0.15">
      <c r="B149" s="12"/>
      <c r="C149" s="12"/>
      <c r="D149" s="12"/>
      <c r="G149" s="12"/>
    </row>
    <row r="150" spans="2:7" x14ac:dyDescent="0.15">
      <c r="B150" s="12"/>
      <c r="C150" s="12"/>
      <c r="D150" s="12"/>
      <c r="G150" s="12"/>
    </row>
    <row r="151" spans="2:7" x14ac:dyDescent="0.15">
      <c r="B151" s="12"/>
      <c r="C151" s="12"/>
      <c r="D151" s="12"/>
      <c r="G151" s="12"/>
    </row>
    <row r="152" spans="2:7" x14ac:dyDescent="0.15">
      <c r="B152" s="12"/>
      <c r="C152" s="12"/>
      <c r="D152" s="12"/>
      <c r="G152" s="12"/>
    </row>
    <row r="153" spans="2:7" x14ac:dyDescent="0.15">
      <c r="B153" s="12"/>
      <c r="C153" s="12"/>
      <c r="D153" s="12"/>
      <c r="G153" s="12"/>
    </row>
    <row r="154" spans="2:7" x14ac:dyDescent="0.15">
      <c r="B154" s="12"/>
      <c r="C154" s="12"/>
      <c r="D154" s="12"/>
      <c r="G154" s="12"/>
    </row>
    <row r="155" spans="2:7" x14ac:dyDescent="0.15">
      <c r="B155" s="12"/>
      <c r="C155" s="12"/>
      <c r="D155" s="12"/>
      <c r="G155" s="12"/>
    </row>
    <row r="156" spans="2:7" x14ac:dyDescent="0.15">
      <c r="B156" s="12"/>
      <c r="C156" s="12"/>
      <c r="D156" s="12"/>
      <c r="G156" s="12"/>
    </row>
    <row r="157" spans="2:7" x14ac:dyDescent="0.15">
      <c r="B157" s="12"/>
      <c r="C157" s="12"/>
      <c r="D157" s="12"/>
      <c r="G157" s="12"/>
    </row>
    <row r="158" spans="2:7" x14ac:dyDescent="0.15">
      <c r="B158" s="12"/>
      <c r="C158" s="12"/>
      <c r="D158" s="12"/>
      <c r="G158" s="12"/>
    </row>
    <row r="159" spans="2:7" x14ac:dyDescent="0.15">
      <c r="B159" s="12"/>
      <c r="C159" s="12"/>
      <c r="D159" s="12"/>
      <c r="G159" s="12"/>
    </row>
    <row r="160" spans="2:7" x14ac:dyDescent="0.15">
      <c r="B160" s="12"/>
      <c r="C160" s="12"/>
      <c r="D160" s="12"/>
      <c r="G160" s="12"/>
    </row>
    <row r="161" spans="2:7" x14ac:dyDescent="0.15">
      <c r="B161" s="12"/>
      <c r="C161" s="12"/>
      <c r="D161" s="12"/>
      <c r="G161" s="12"/>
    </row>
    <row r="162" spans="2:7" x14ac:dyDescent="0.15">
      <c r="B162" s="12"/>
      <c r="C162" s="12"/>
      <c r="D162" s="12"/>
      <c r="G162" s="12"/>
    </row>
    <row r="163" spans="2:7" x14ac:dyDescent="0.15">
      <c r="B163" s="12"/>
      <c r="C163" s="12"/>
      <c r="D163" s="12"/>
      <c r="G163" s="12"/>
    </row>
    <row r="164" spans="2:7" x14ac:dyDescent="0.15">
      <c r="B164" s="12"/>
      <c r="C164" s="12"/>
      <c r="D164" s="12"/>
      <c r="G164" s="12"/>
    </row>
    <row r="165" spans="2:7" x14ac:dyDescent="0.15">
      <c r="B165" s="12"/>
      <c r="C165" s="12"/>
      <c r="D165" s="12"/>
      <c r="G165" s="12"/>
    </row>
    <row r="166" spans="2:7" x14ac:dyDescent="0.15">
      <c r="B166" s="12"/>
      <c r="C166" s="12"/>
      <c r="D166" s="12"/>
      <c r="G166" s="12"/>
    </row>
    <row r="167" spans="2:7" x14ac:dyDescent="0.15">
      <c r="B167" s="12"/>
      <c r="C167" s="12"/>
      <c r="D167" s="12"/>
      <c r="G167" s="12"/>
    </row>
    <row r="168" spans="2:7" x14ac:dyDescent="0.15">
      <c r="B168" s="12"/>
      <c r="C168" s="12"/>
      <c r="D168" s="12"/>
      <c r="G168" s="12"/>
    </row>
    <row r="169" spans="2:7" x14ac:dyDescent="0.15">
      <c r="B169" s="12"/>
      <c r="C169" s="12"/>
      <c r="D169" s="12"/>
      <c r="G169" s="12"/>
    </row>
    <row r="170" spans="2:7" x14ac:dyDescent="0.15">
      <c r="B170" s="12"/>
      <c r="C170" s="12"/>
      <c r="D170" s="12"/>
      <c r="G170" s="12"/>
    </row>
    <row r="171" spans="2:7" x14ac:dyDescent="0.15">
      <c r="B171" s="12"/>
      <c r="C171" s="12"/>
      <c r="D171" s="12"/>
      <c r="G171" s="12"/>
    </row>
    <row r="172" spans="2:7" x14ac:dyDescent="0.15">
      <c r="B172" s="12"/>
      <c r="C172" s="12"/>
      <c r="D172" s="12"/>
      <c r="G172" s="12"/>
    </row>
    <row r="173" spans="2:7" x14ac:dyDescent="0.15">
      <c r="B173" s="12"/>
      <c r="C173" s="12"/>
      <c r="D173" s="12"/>
      <c r="G173" s="12"/>
    </row>
    <row r="174" spans="2:7" x14ac:dyDescent="0.15">
      <c r="G174" s="12"/>
    </row>
    <row r="175" spans="2:7" x14ac:dyDescent="0.15">
      <c r="G175" s="12"/>
    </row>
    <row r="176" spans="2:7" x14ac:dyDescent="0.15">
      <c r="G176" s="12"/>
    </row>
    <row r="177" spans="7:7" x14ac:dyDescent="0.15">
      <c r="G177" s="12"/>
    </row>
    <row r="178" spans="7:7" x14ac:dyDescent="0.15">
      <c r="G178" s="12"/>
    </row>
    <row r="179" spans="7:7" x14ac:dyDescent="0.15">
      <c r="G179" s="12"/>
    </row>
    <row r="180" spans="7:7" x14ac:dyDescent="0.15">
      <c r="G180" s="12"/>
    </row>
    <row r="181" spans="7:7" x14ac:dyDescent="0.15">
      <c r="G181" s="12"/>
    </row>
    <row r="182" spans="7:7" x14ac:dyDescent="0.15">
      <c r="G182" s="12"/>
    </row>
    <row r="183" spans="7:7" x14ac:dyDescent="0.15">
      <c r="G183" s="12"/>
    </row>
    <row r="184" spans="7:7" x14ac:dyDescent="0.15">
      <c r="G184" s="12"/>
    </row>
    <row r="185" spans="7:7" x14ac:dyDescent="0.15">
      <c r="G185" s="12"/>
    </row>
    <row r="186" spans="7:7" x14ac:dyDescent="0.15">
      <c r="G186" s="12"/>
    </row>
    <row r="187" spans="7:7" x14ac:dyDescent="0.15">
      <c r="G187" s="12"/>
    </row>
    <row r="188" spans="7:7" x14ac:dyDescent="0.15">
      <c r="G188" s="12"/>
    </row>
    <row r="189" spans="7:7" x14ac:dyDescent="0.15">
      <c r="G189" s="12"/>
    </row>
    <row r="190" spans="7:7" x14ac:dyDescent="0.15">
      <c r="G190" s="12"/>
    </row>
    <row r="191" spans="7:7" x14ac:dyDescent="0.15">
      <c r="G191" s="12"/>
    </row>
    <row r="192" spans="7:7" x14ac:dyDescent="0.15">
      <c r="G192" s="12"/>
    </row>
    <row r="193" spans="7:7" x14ac:dyDescent="0.15">
      <c r="G193" s="12"/>
    </row>
    <row r="194" spans="7:7" x14ac:dyDescent="0.15">
      <c r="G194" s="12"/>
    </row>
    <row r="195" spans="7:7" x14ac:dyDescent="0.15">
      <c r="G195" s="12"/>
    </row>
    <row r="196" spans="7:7" x14ac:dyDescent="0.15">
      <c r="G196" s="12"/>
    </row>
    <row r="197" spans="7:7" x14ac:dyDescent="0.15">
      <c r="G197" s="12"/>
    </row>
    <row r="198" spans="7:7" x14ac:dyDescent="0.15">
      <c r="G198" s="12"/>
    </row>
    <row r="199" spans="7:7" x14ac:dyDescent="0.15">
      <c r="G199" s="12"/>
    </row>
    <row r="200" spans="7:7" x14ac:dyDescent="0.15">
      <c r="G200" s="12"/>
    </row>
    <row r="201" spans="7:7" x14ac:dyDescent="0.15">
      <c r="G201" s="12"/>
    </row>
    <row r="202" spans="7:7" x14ac:dyDescent="0.15">
      <c r="G202" s="12"/>
    </row>
    <row r="203" spans="7:7" x14ac:dyDescent="0.15">
      <c r="G203" s="12"/>
    </row>
    <row r="204" spans="7:7" x14ac:dyDescent="0.15">
      <c r="G204" s="12"/>
    </row>
    <row r="205" spans="7:7" x14ac:dyDescent="0.15">
      <c r="G205" s="12"/>
    </row>
    <row r="206" spans="7:7" x14ac:dyDescent="0.15">
      <c r="G206" s="12"/>
    </row>
    <row r="207" spans="7:7" x14ac:dyDescent="0.15">
      <c r="G207" s="12"/>
    </row>
    <row r="208" spans="7:7" x14ac:dyDescent="0.15">
      <c r="G208" s="12"/>
    </row>
    <row r="209" spans="7:7" x14ac:dyDescent="0.15">
      <c r="G209" s="12"/>
    </row>
    <row r="210" spans="7:7" x14ac:dyDescent="0.15">
      <c r="G210" s="12"/>
    </row>
    <row r="211" spans="7:7" x14ac:dyDescent="0.15">
      <c r="G211" s="12"/>
    </row>
    <row r="212" spans="7:7" x14ac:dyDescent="0.15">
      <c r="G212" s="12"/>
    </row>
    <row r="213" spans="7:7" x14ac:dyDescent="0.15">
      <c r="G213" s="12"/>
    </row>
    <row r="214" spans="7:7" x14ac:dyDescent="0.15">
      <c r="G214" s="12"/>
    </row>
    <row r="215" spans="7:7" x14ac:dyDescent="0.15">
      <c r="G215" s="12"/>
    </row>
    <row r="216" spans="7:7" x14ac:dyDescent="0.15">
      <c r="G216" s="12"/>
    </row>
    <row r="217" spans="7:7" x14ac:dyDescent="0.15">
      <c r="G217" s="12"/>
    </row>
    <row r="218" spans="7:7" x14ac:dyDescent="0.15">
      <c r="G218" s="12"/>
    </row>
    <row r="219" spans="7:7" x14ac:dyDescent="0.15">
      <c r="G219" s="12"/>
    </row>
    <row r="220" spans="7:7" x14ac:dyDescent="0.15">
      <c r="G220" s="12"/>
    </row>
    <row r="221" spans="7:7" x14ac:dyDescent="0.15">
      <c r="G221" s="12"/>
    </row>
    <row r="222" spans="7:7" x14ac:dyDescent="0.15">
      <c r="G222" s="12"/>
    </row>
    <row r="223" spans="7:7" x14ac:dyDescent="0.15">
      <c r="G223" s="12"/>
    </row>
    <row r="224" spans="7:7" x14ac:dyDescent="0.15">
      <c r="G224" s="12"/>
    </row>
    <row r="225" spans="7:7" x14ac:dyDescent="0.15">
      <c r="G225" s="12"/>
    </row>
    <row r="226" spans="7:7" x14ac:dyDescent="0.15">
      <c r="G226" s="12"/>
    </row>
    <row r="227" spans="7:7" x14ac:dyDescent="0.15">
      <c r="G227" s="12"/>
    </row>
    <row r="228" spans="7:7" x14ac:dyDescent="0.15">
      <c r="G228" s="12"/>
    </row>
    <row r="229" spans="7:7" x14ac:dyDescent="0.15">
      <c r="G229" s="12"/>
    </row>
    <row r="230" spans="7:7" x14ac:dyDescent="0.15">
      <c r="G230" s="12"/>
    </row>
    <row r="231" spans="7:7" x14ac:dyDescent="0.15">
      <c r="G231" s="12"/>
    </row>
    <row r="232" spans="7:7" x14ac:dyDescent="0.15">
      <c r="G232" s="12"/>
    </row>
    <row r="233" spans="7:7" x14ac:dyDescent="0.15">
      <c r="G233" s="12"/>
    </row>
    <row r="234" spans="7:7" x14ac:dyDescent="0.15">
      <c r="G234" s="12"/>
    </row>
    <row r="235" spans="7:7" x14ac:dyDescent="0.15">
      <c r="G235" s="12"/>
    </row>
    <row r="236" spans="7:7" x14ac:dyDescent="0.15">
      <c r="G236" s="12"/>
    </row>
    <row r="237" spans="7:7" x14ac:dyDescent="0.15">
      <c r="G237" s="12"/>
    </row>
    <row r="238" spans="7:7" x14ac:dyDescent="0.15">
      <c r="G238" s="12"/>
    </row>
    <row r="239" spans="7:7" x14ac:dyDescent="0.15">
      <c r="G239" s="12"/>
    </row>
    <row r="240" spans="7:7" x14ac:dyDescent="0.15">
      <c r="G240" s="12"/>
    </row>
    <row r="241" spans="7:7" x14ac:dyDescent="0.15">
      <c r="G241" s="12"/>
    </row>
    <row r="242" spans="7:7" x14ac:dyDescent="0.15">
      <c r="G242" s="12"/>
    </row>
    <row r="243" spans="7:7" x14ac:dyDescent="0.15">
      <c r="G243" s="12"/>
    </row>
    <row r="244" spans="7:7" x14ac:dyDescent="0.15">
      <c r="G244" s="12"/>
    </row>
    <row r="245" spans="7:7" x14ac:dyDescent="0.15">
      <c r="G245" s="12"/>
    </row>
    <row r="246" spans="7:7" x14ac:dyDescent="0.15">
      <c r="G246" s="12"/>
    </row>
    <row r="247" spans="7:7" x14ac:dyDescent="0.15">
      <c r="G247" s="12"/>
    </row>
    <row r="248" spans="7:7" x14ac:dyDescent="0.15">
      <c r="G248" s="12"/>
    </row>
    <row r="249" spans="7:7" x14ac:dyDescent="0.15">
      <c r="G249" s="12"/>
    </row>
    <row r="250" spans="7:7" x14ac:dyDescent="0.15">
      <c r="G250" s="12"/>
    </row>
    <row r="251" spans="7:7" x14ac:dyDescent="0.15">
      <c r="G251" s="12"/>
    </row>
    <row r="252" spans="7:7" x14ac:dyDescent="0.15">
      <c r="G252" s="12"/>
    </row>
    <row r="253" spans="7:7" x14ac:dyDescent="0.15">
      <c r="G253" s="12"/>
    </row>
    <row r="254" spans="7:7" x14ac:dyDescent="0.15">
      <c r="G254" s="12"/>
    </row>
    <row r="255" spans="7:7" x14ac:dyDescent="0.15">
      <c r="G255" s="12"/>
    </row>
    <row r="256" spans="7:7" x14ac:dyDescent="0.15">
      <c r="G256" s="12"/>
    </row>
    <row r="257" spans="7:7" x14ac:dyDescent="0.15">
      <c r="G257" s="12"/>
    </row>
    <row r="258" spans="7:7" x14ac:dyDescent="0.15">
      <c r="G258" s="12"/>
    </row>
    <row r="259" spans="7:7" x14ac:dyDescent="0.15">
      <c r="G259" s="12"/>
    </row>
    <row r="260" spans="7:7" x14ac:dyDescent="0.15">
      <c r="G260" s="12"/>
    </row>
    <row r="261" spans="7:7" x14ac:dyDescent="0.15">
      <c r="G261" s="12"/>
    </row>
    <row r="262" spans="7:7" x14ac:dyDescent="0.15">
      <c r="G262" s="12"/>
    </row>
    <row r="263" spans="7:7" x14ac:dyDescent="0.15">
      <c r="G263" s="12"/>
    </row>
    <row r="264" spans="7:7" x14ac:dyDescent="0.15">
      <c r="G264" s="12"/>
    </row>
    <row r="265" spans="7:7" x14ac:dyDescent="0.15">
      <c r="G265" s="12"/>
    </row>
    <row r="266" spans="7:7" x14ac:dyDescent="0.15">
      <c r="G266" s="12"/>
    </row>
    <row r="267" spans="7:7" x14ac:dyDescent="0.15">
      <c r="G267" s="12"/>
    </row>
    <row r="268" spans="7:7" x14ac:dyDescent="0.15">
      <c r="G268" s="12"/>
    </row>
    <row r="269" spans="7:7" x14ac:dyDescent="0.15">
      <c r="G269" s="12"/>
    </row>
    <row r="270" spans="7:7" x14ac:dyDescent="0.15">
      <c r="G270" s="12"/>
    </row>
    <row r="271" spans="7:7" x14ac:dyDescent="0.15">
      <c r="G271" s="12"/>
    </row>
    <row r="272" spans="7:7" x14ac:dyDescent="0.15">
      <c r="G272" s="12"/>
    </row>
    <row r="273" spans="7:7" x14ac:dyDescent="0.15">
      <c r="G273" s="12"/>
    </row>
    <row r="274" spans="7:7" x14ac:dyDescent="0.15">
      <c r="G274" s="12"/>
    </row>
    <row r="275" spans="7:7" x14ac:dyDescent="0.15">
      <c r="G275" s="12"/>
    </row>
    <row r="276" spans="7:7" x14ac:dyDescent="0.15">
      <c r="G276" s="12"/>
    </row>
    <row r="277" spans="7:7" x14ac:dyDescent="0.15">
      <c r="G277" s="12"/>
    </row>
    <row r="278" spans="7:7" x14ac:dyDescent="0.15">
      <c r="G278" s="12"/>
    </row>
    <row r="279" spans="7:7" x14ac:dyDescent="0.15">
      <c r="G279" s="12"/>
    </row>
    <row r="280" spans="7:7" x14ac:dyDescent="0.15">
      <c r="G280" s="12"/>
    </row>
    <row r="281" spans="7:7" x14ac:dyDescent="0.15">
      <c r="G281" s="12"/>
    </row>
    <row r="282" spans="7:7" x14ac:dyDescent="0.15">
      <c r="G282" s="12"/>
    </row>
    <row r="283" spans="7:7" x14ac:dyDescent="0.15">
      <c r="G283" s="12"/>
    </row>
    <row r="284" spans="7:7" x14ac:dyDescent="0.15">
      <c r="G284" s="12"/>
    </row>
    <row r="285" spans="7:7" x14ac:dyDescent="0.15">
      <c r="G285" s="12"/>
    </row>
    <row r="286" spans="7:7" x14ac:dyDescent="0.15">
      <c r="G286" s="12"/>
    </row>
    <row r="287" spans="7:7" x14ac:dyDescent="0.15">
      <c r="G287" s="12"/>
    </row>
    <row r="288" spans="7:7" x14ac:dyDescent="0.15">
      <c r="G288" s="12"/>
    </row>
    <row r="289" spans="7:7" x14ac:dyDescent="0.15">
      <c r="G289" s="12"/>
    </row>
    <row r="290" spans="7:7" x14ac:dyDescent="0.15">
      <c r="G290" s="12"/>
    </row>
    <row r="291" spans="7:7" x14ac:dyDescent="0.15">
      <c r="G291" s="12"/>
    </row>
    <row r="292" spans="7:7" x14ac:dyDescent="0.15">
      <c r="G292" s="12"/>
    </row>
    <row r="293" spans="7:7" x14ac:dyDescent="0.15">
      <c r="G293" s="12"/>
    </row>
    <row r="294" spans="7:7" x14ac:dyDescent="0.15">
      <c r="G294" s="12"/>
    </row>
    <row r="295" spans="7:7" x14ac:dyDescent="0.15">
      <c r="G295" s="12"/>
    </row>
    <row r="296" spans="7:7" x14ac:dyDescent="0.15">
      <c r="G296" s="12"/>
    </row>
    <row r="297" spans="7:7" x14ac:dyDescent="0.15">
      <c r="G297" s="12"/>
    </row>
    <row r="298" spans="7:7" x14ac:dyDescent="0.15">
      <c r="G298" s="12"/>
    </row>
    <row r="299" spans="7:7" x14ac:dyDescent="0.15">
      <c r="G299" s="12"/>
    </row>
    <row r="300" spans="7:7" x14ac:dyDescent="0.15">
      <c r="G300" s="12"/>
    </row>
    <row r="301" spans="7:7" x14ac:dyDescent="0.15">
      <c r="G301" s="12"/>
    </row>
    <row r="302" spans="7:7" x14ac:dyDescent="0.15">
      <c r="G302" s="12"/>
    </row>
    <row r="303" spans="7:7" x14ac:dyDescent="0.15">
      <c r="G303" s="12"/>
    </row>
    <row r="304" spans="7:7" x14ac:dyDescent="0.15">
      <c r="G304" s="12"/>
    </row>
    <row r="305" spans="7:7" x14ac:dyDescent="0.15">
      <c r="G305" s="12"/>
    </row>
    <row r="306" spans="7:7" x14ac:dyDescent="0.15">
      <c r="G306" s="12"/>
    </row>
    <row r="307" spans="7:7" x14ac:dyDescent="0.15">
      <c r="G307" s="12"/>
    </row>
    <row r="308" spans="7:7" x14ac:dyDescent="0.15">
      <c r="G308" s="12"/>
    </row>
    <row r="309" spans="7:7" x14ac:dyDescent="0.15">
      <c r="G309" s="12"/>
    </row>
    <row r="310" spans="7:7" x14ac:dyDescent="0.15">
      <c r="G310" s="12"/>
    </row>
    <row r="311" spans="7:7" x14ac:dyDescent="0.15">
      <c r="G311" s="12"/>
    </row>
    <row r="312" spans="7:7" x14ac:dyDescent="0.15">
      <c r="G312" s="12"/>
    </row>
    <row r="313" spans="7:7" x14ac:dyDescent="0.15">
      <c r="G313" s="12"/>
    </row>
    <row r="314" spans="7:7" x14ac:dyDescent="0.15">
      <c r="G314" s="12"/>
    </row>
    <row r="315" spans="7:7" x14ac:dyDescent="0.15">
      <c r="G315" s="12"/>
    </row>
    <row r="316" spans="7:7" x14ac:dyDescent="0.15">
      <c r="G316" s="12"/>
    </row>
    <row r="317" spans="7:7" x14ac:dyDescent="0.15">
      <c r="G317" s="12"/>
    </row>
    <row r="318" spans="7:7" x14ac:dyDescent="0.15">
      <c r="G318" s="12"/>
    </row>
    <row r="319" spans="7:7" x14ac:dyDescent="0.15">
      <c r="G319" s="12"/>
    </row>
    <row r="320" spans="7:7" x14ac:dyDescent="0.15">
      <c r="G320" s="12"/>
    </row>
    <row r="321" spans="7:7" x14ac:dyDescent="0.15">
      <c r="G321" s="12"/>
    </row>
    <row r="322" spans="7:7" x14ac:dyDescent="0.15">
      <c r="G322" s="12"/>
    </row>
    <row r="323" spans="7:7" x14ac:dyDescent="0.15">
      <c r="G323" s="12"/>
    </row>
    <row r="324" spans="7:7" x14ac:dyDescent="0.15">
      <c r="G324" s="12"/>
    </row>
    <row r="325" spans="7:7" x14ac:dyDescent="0.15">
      <c r="G325" s="12"/>
    </row>
    <row r="326" spans="7:7" x14ac:dyDescent="0.15">
      <c r="G326" s="12"/>
    </row>
    <row r="327" spans="7:7" x14ac:dyDescent="0.15">
      <c r="G327" s="12"/>
    </row>
    <row r="328" spans="7:7" x14ac:dyDescent="0.15">
      <c r="G328" s="12"/>
    </row>
    <row r="329" spans="7:7" x14ac:dyDescent="0.15">
      <c r="G329" s="12"/>
    </row>
    <row r="330" spans="7:7" x14ac:dyDescent="0.15">
      <c r="G330" s="12"/>
    </row>
    <row r="331" spans="7:7" x14ac:dyDescent="0.15">
      <c r="G331" s="12"/>
    </row>
    <row r="332" spans="7:7" x14ac:dyDescent="0.15">
      <c r="G332" s="12"/>
    </row>
    <row r="333" spans="7:7" x14ac:dyDescent="0.15">
      <c r="G333" s="12"/>
    </row>
    <row r="334" spans="7:7" x14ac:dyDescent="0.15">
      <c r="G334" s="12"/>
    </row>
    <row r="335" spans="7:7" x14ac:dyDescent="0.15">
      <c r="G335" s="12"/>
    </row>
    <row r="336" spans="7:7" x14ac:dyDescent="0.15">
      <c r="G336" s="12"/>
    </row>
    <row r="337" spans="7:7" x14ac:dyDescent="0.15">
      <c r="G337" s="12"/>
    </row>
    <row r="338" spans="7:7" x14ac:dyDescent="0.15">
      <c r="G338" s="12"/>
    </row>
    <row r="339" spans="7:7" x14ac:dyDescent="0.15">
      <c r="G339" s="12"/>
    </row>
    <row r="340" spans="7:7" x14ac:dyDescent="0.15">
      <c r="G340" s="12"/>
    </row>
    <row r="341" spans="7:7" x14ac:dyDescent="0.15">
      <c r="G341" s="12"/>
    </row>
    <row r="342" spans="7:7" x14ac:dyDescent="0.15">
      <c r="G342" s="12"/>
    </row>
    <row r="343" spans="7:7" x14ac:dyDescent="0.15">
      <c r="G343" s="12"/>
    </row>
    <row r="344" spans="7:7" x14ac:dyDescent="0.15">
      <c r="G344" s="12"/>
    </row>
    <row r="345" spans="7:7" x14ac:dyDescent="0.15">
      <c r="G345" s="12"/>
    </row>
    <row r="346" spans="7:7" x14ac:dyDescent="0.15">
      <c r="G346" s="12"/>
    </row>
    <row r="347" spans="7:7" x14ac:dyDescent="0.15">
      <c r="G347" s="12"/>
    </row>
    <row r="348" spans="7:7" x14ac:dyDescent="0.15">
      <c r="G348" s="12"/>
    </row>
    <row r="349" spans="7:7" x14ac:dyDescent="0.15">
      <c r="G349" s="12"/>
    </row>
    <row r="350" spans="7:7" x14ac:dyDescent="0.15">
      <c r="G350" s="12"/>
    </row>
    <row r="351" spans="7:7" x14ac:dyDescent="0.15">
      <c r="G351" s="12"/>
    </row>
    <row r="352" spans="7:7" x14ac:dyDescent="0.15">
      <c r="G352" s="12"/>
    </row>
    <row r="353" spans="7:7" x14ac:dyDescent="0.15">
      <c r="G353" s="12"/>
    </row>
    <row r="354" spans="7:7" x14ac:dyDescent="0.15">
      <c r="G354" s="12"/>
    </row>
    <row r="355" spans="7:7" x14ac:dyDescent="0.15">
      <c r="G355" s="12"/>
    </row>
    <row r="356" spans="7:7" x14ac:dyDescent="0.15">
      <c r="G356" s="12"/>
    </row>
    <row r="357" spans="7:7" x14ac:dyDescent="0.15">
      <c r="G357" s="12"/>
    </row>
    <row r="358" spans="7:7" x14ac:dyDescent="0.15">
      <c r="G358" s="12"/>
    </row>
    <row r="359" spans="7:7" x14ac:dyDescent="0.15">
      <c r="G359" s="12"/>
    </row>
    <row r="360" spans="7:7" x14ac:dyDescent="0.15">
      <c r="G360" s="12"/>
    </row>
    <row r="361" spans="7:7" x14ac:dyDescent="0.15">
      <c r="G361" s="12"/>
    </row>
    <row r="362" spans="7:7" x14ac:dyDescent="0.15">
      <c r="G362" s="12"/>
    </row>
    <row r="363" spans="7:7" x14ac:dyDescent="0.15">
      <c r="G363" s="12"/>
    </row>
    <row r="364" spans="7:7" x14ac:dyDescent="0.15">
      <c r="G364" s="12"/>
    </row>
    <row r="365" spans="7:7" x14ac:dyDescent="0.15">
      <c r="G365" s="12"/>
    </row>
    <row r="366" spans="7:7" x14ac:dyDescent="0.15">
      <c r="G366" s="12"/>
    </row>
    <row r="367" spans="7:7" x14ac:dyDescent="0.15">
      <c r="G367" s="12"/>
    </row>
    <row r="368" spans="7:7" x14ac:dyDescent="0.15">
      <c r="G368" s="12"/>
    </row>
    <row r="369" spans="7:7" x14ac:dyDescent="0.15">
      <c r="G369" s="12"/>
    </row>
    <row r="370" spans="7:7" x14ac:dyDescent="0.15">
      <c r="G370" s="12"/>
    </row>
    <row r="371" spans="7:7" x14ac:dyDescent="0.15">
      <c r="G371" s="12"/>
    </row>
    <row r="372" spans="7:7" x14ac:dyDescent="0.15">
      <c r="G372" s="12"/>
    </row>
    <row r="373" spans="7:7" x14ac:dyDescent="0.15">
      <c r="G373" s="12"/>
    </row>
    <row r="374" spans="7:7" x14ac:dyDescent="0.15">
      <c r="G374" s="12"/>
    </row>
    <row r="375" spans="7:7" x14ac:dyDescent="0.15">
      <c r="G375" s="12"/>
    </row>
    <row r="376" spans="7:7" x14ac:dyDescent="0.15">
      <c r="G376" s="12"/>
    </row>
    <row r="377" spans="7:7" x14ac:dyDescent="0.15">
      <c r="G377" s="12"/>
    </row>
    <row r="378" spans="7:7" x14ac:dyDescent="0.15">
      <c r="G378" s="12"/>
    </row>
    <row r="379" spans="7:7" x14ac:dyDescent="0.15">
      <c r="G379" s="12"/>
    </row>
    <row r="380" spans="7:7" x14ac:dyDescent="0.15">
      <c r="G380" s="12"/>
    </row>
    <row r="381" spans="7:7" x14ac:dyDescent="0.15">
      <c r="G381" s="12"/>
    </row>
    <row r="382" spans="7:7" x14ac:dyDescent="0.15">
      <c r="G382" s="12"/>
    </row>
    <row r="383" spans="7:7" x14ac:dyDescent="0.15">
      <c r="G383" s="12"/>
    </row>
    <row r="384" spans="7:7" x14ac:dyDescent="0.15">
      <c r="G384" s="12"/>
    </row>
    <row r="385" spans="7:7" x14ac:dyDescent="0.15">
      <c r="G385" s="12"/>
    </row>
    <row r="386" spans="7:7" x14ac:dyDescent="0.15">
      <c r="G386" s="12"/>
    </row>
    <row r="387" spans="7:7" x14ac:dyDescent="0.15">
      <c r="G387" s="12"/>
    </row>
    <row r="388" spans="7:7" x14ac:dyDescent="0.15">
      <c r="G388" s="12"/>
    </row>
    <row r="389" spans="7:7" x14ac:dyDescent="0.15">
      <c r="G389" s="12"/>
    </row>
    <row r="390" spans="7:7" x14ac:dyDescent="0.15">
      <c r="G390" s="12"/>
    </row>
    <row r="391" spans="7:7" x14ac:dyDescent="0.15">
      <c r="G391" s="12"/>
    </row>
    <row r="392" spans="7:7" x14ac:dyDescent="0.15">
      <c r="G392" s="12"/>
    </row>
    <row r="393" spans="7:7" x14ac:dyDescent="0.15">
      <c r="G393" s="12"/>
    </row>
    <row r="394" spans="7:7" x14ac:dyDescent="0.15">
      <c r="G394" s="12"/>
    </row>
    <row r="395" spans="7:7" x14ac:dyDescent="0.15">
      <c r="G395" s="12"/>
    </row>
    <row r="396" spans="7:7" x14ac:dyDescent="0.15">
      <c r="G396" s="12"/>
    </row>
    <row r="397" spans="7:7" x14ac:dyDescent="0.15">
      <c r="G397" s="12"/>
    </row>
    <row r="398" spans="7:7" x14ac:dyDescent="0.15">
      <c r="G398" s="12"/>
    </row>
    <row r="399" spans="7:7" x14ac:dyDescent="0.15">
      <c r="G399" s="12"/>
    </row>
    <row r="400" spans="7:7" x14ac:dyDescent="0.15">
      <c r="G400" s="12"/>
    </row>
    <row r="401" spans="7:7" x14ac:dyDescent="0.15">
      <c r="G401" s="12"/>
    </row>
    <row r="402" spans="7:7" x14ac:dyDescent="0.15">
      <c r="G402" s="12"/>
    </row>
    <row r="403" spans="7:7" x14ac:dyDescent="0.15">
      <c r="G403" s="12"/>
    </row>
    <row r="404" spans="7:7" x14ac:dyDescent="0.15">
      <c r="G404" s="12"/>
    </row>
    <row r="405" spans="7:7" x14ac:dyDescent="0.15">
      <c r="G405" s="12"/>
    </row>
    <row r="406" spans="7:7" x14ac:dyDescent="0.15">
      <c r="G406" s="12"/>
    </row>
    <row r="407" spans="7:7" x14ac:dyDescent="0.15">
      <c r="G407" s="12"/>
    </row>
    <row r="408" spans="7:7" x14ac:dyDescent="0.15">
      <c r="G408" s="12"/>
    </row>
    <row r="409" spans="7:7" x14ac:dyDescent="0.15">
      <c r="G409" s="12"/>
    </row>
    <row r="410" spans="7:7" x14ac:dyDescent="0.15">
      <c r="G410" s="12"/>
    </row>
    <row r="411" spans="7:7" x14ac:dyDescent="0.15">
      <c r="G411" s="12"/>
    </row>
    <row r="412" spans="7:7" x14ac:dyDescent="0.15">
      <c r="G412" s="12"/>
    </row>
    <row r="413" spans="7:7" x14ac:dyDescent="0.15">
      <c r="G413" s="12"/>
    </row>
    <row r="414" spans="7:7" x14ac:dyDescent="0.15">
      <c r="G414" s="12"/>
    </row>
    <row r="415" spans="7:7" x14ac:dyDescent="0.15">
      <c r="G415" s="12"/>
    </row>
    <row r="416" spans="7:7" x14ac:dyDescent="0.15">
      <c r="G416" s="12"/>
    </row>
    <row r="417" spans="7:7" x14ac:dyDescent="0.15">
      <c r="G417" s="12"/>
    </row>
    <row r="418" spans="7:7" x14ac:dyDescent="0.15">
      <c r="G418" s="12"/>
    </row>
    <row r="419" spans="7:7" x14ac:dyDescent="0.15">
      <c r="G419" s="12"/>
    </row>
    <row r="420" spans="7:7" x14ac:dyDescent="0.15">
      <c r="G420" s="12"/>
    </row>
    <row r="421" spans="7:7" x14ac:dyDescent="0.15">
      <c r="G421" s="12"/>
    </row>
    <row r="422" spans="7:7" x14ac:dyDescent="0.15">
      <c r="G422" s="12"/>
    </row>
    <row r="423" spans="7:7" x14ac:dyDescent="0.15">
      <c r="G423" s="12"/>
    </row>
    <row r="424" spans="7:7" x14ac:dyDescent="0.15">
      <c r="G424" s="12"/>
    </row>
    <row r="425" spans="7:7" x14ac:dyDescent="0.15">
      <c r="G425" s="12"/>
    </row>
    <row r="426" spans="7:7" x14ac:dyDescent="0.15">
      <c r="G426" s="12"/>
    </row>
    <row r="427" spans="7:7" x14ac:dyDescent="0.15">
      <c r="G427" s="12"/>
    </row>
    <row r="428" spans="7:7" x14ac:dyDescent="0.15">
      <c r="G428" s="12"/>
    </row>
    <row r="429" spans="7:7" x14ac:dyDescent="0.15">
      <c r="G429" s="12"/>
    </row>
    <row r="430" spans="7:7" x14ac:dyDescent="0.15">
      <c r="G430" s="12"/>
    </row>
    <row r="431" spans="7:7" x14ac:dyDescent="0.15">
      <c r="G431" s="12"/>
    </row>
    <row r="432" spans="7:7" x14ac:dyDescent="0.15">
      <c r="G432" s="12"/>
    </row>
    <row r="433" spans="7:7" x14ac:dyDescent="0.15">
      <c r="G433" s="12"/>
    </row>
    <row r="434" spans="7:7" x14ac:dyDescent="0.15">
      <c r="G434" s="12"/>
    </row>
    <row r="435" spans="7:7" x14ac:dyDescent="0.15">
      <c r="G435" s="12"/>
    </row>
    <row r="436" spans="7:7" x14ac:dyDescent="0.15">
      <c r="G436" s="12"/>
    </row>
    <row r="437" spans="7:7" x14ac:dyDescent="0.15">
      <c r="G437" s="12"/>
    </row>
    <row r="438" spans="7:7" x14ac:dyDescent="0.15">
      <c r="G438" s="12"/>
    </row>
    <row r="439" spans="7:7" x14ac:dyDescent="0.15">
      <c r="G439" s="12"/>
    </row>
    <row r="440" spans="7:7" x14ac:dyDescent="0.15">
      <c r="G440" s="12"/>
    </row>
    <row r="441" spans="7:7" x14ac:dyDescent="0.15">
      <c r="G441" s="12"/>
    </row>
    <row r="442" spans="7:7" x14ac:dyDescent="0.15">
      <c r="G442" s="12"/>
    </row>
    <row r="443" spans="7:7" x14ac:dyDescent="0.15">
      <c r="G443" s="12"/>
    </row>
    <row r="444" spans="7:7" x14ac:dyDescent="0.15">
      <c r="G444" s="12"/>
    </row>
    <row r="445" spans="7:7" x14ac:dyDescent="0.15">
      <c r="G445" s="12"/>
    </row>
    <row r="446" spans="7:7" x14ac:dyDescent="0.15">
      <c r="G446" s="12"/>
    </row>
    <row r="447" spans="7:7" x14ac:dyDescent="0.15">
      <c r="G447" s="12"/>
    </row>
    <row r="448" spans="7:7" x14ac:dyDescent="0.15">
      <c r="G448" s="12"/>
    </row>
    <row r="449" spans="7:7" x14ac:dyDescent="0.15">
      <c r="G449" s="12"/>
    </row>
    <row r="450" spans="7:7" x14ac:dyDescent="0.15">
      <c r="G450" s="12"/>
    </row>
    <row r="451" spans="7:7" x14ac:dyDescent="0.15">
      <c r="G451" s="12"/>
    </row>
    <row r="452" spans="7:7" x14ac:dyDescent="0.15">
      <c r="G452" s="12"/>
    </row>
    <row r="453" spans="7:7" x14ac:dyDescent="0.15">
      <c r="G453" s="12"/>
    </row>
    <row r="454" spans="7:7" x14ac:dyDescent="0.15">
      <c r="G454" s="12"/>
    </row>
    <row r="455" spans="7:7" x14ac:dyDescent="0.15">
      <c r="G455" s="12"/>
    </row>
    <row r="456" spans="7:7" x14ac:dyDescent="0.15">
      <c r="G456" s="12"/>
    </row>
    <row r="457" spans="7:7" x14ac:dyDescent="0.15">
      <c r="G457" s="12"/>
    </row>
    <row r="458" spans="7:7" x14ac:dyDescent="0.15">
      <c r="G458" s="12"/>
    </row>
    <row r="459" spans="7:7" x14ac:dyDescent="0.15">
      <c r="G459" s="12"/>
    </row>
    <row r="460" spans="7:7" x14ac:dyDescent="0.15">
      <c r="G460" s="12"/>
    </row>
    <row r="461" spans="7:7" x14ac:dyDescent="0.15">
      <c r="G461" s="12"/>
    </row>
    <row r="462" spans="7:7" x14ac:dyDescent="0.15">
      <c r="G462" s="12"/>
    </row>
    <row r="463" spans="7:7" x14ac:dyDescent="0.15">
      <c r="G463" s="12"/>
    </row>
    <row r="464" spans="7:7" x14ac:dyDescent="0.15">
      <c r="G464" s="12"/>
    </row>
    <row r="465" spans="7:7" x14ac:dyDescent="0.15">
      <c r="G465" s="12"/>
    </row>
    <row r="466" spans="7:7" x14ac:dyDescent="0.15">
      <c r="G466" s="12"/>
    </row>
    <row r="467" spans="7:7" x14ac:dyDescent="0.15">
      <c r="G467" s="12"/>
    </row>
    <row r="468" spans="7:7" x14ac:dyDescent="0.15">
      <c r="G468" s="12"/>
    </row>
    <row r="469" spans="7:7" x14ac:dyDescent="0.15">
      <c r="G469" s="12"/>
    </row>
    <row r="470" spans="7:7" x14ac:dyDescent="0.15">
      <c r="G470" s="12"/>
    </row>
    <row r="471" spans="7:7" x14ac:dyDescent="0.15">
      <c r="G471" s="12"/>
    </row>
    <row r="472" spans="7:7" x14ac:dyDescent="0.15">
      <c r="G472" s="12"/>
    </row>
    <row r="473" spans="7:7" x14ac:dyDescent="0.15">
      <c r="G473" s="12"/>
    </row>
    <row r="474" spans="7:7" x14ac:dyDescent="0.15">
      <c r="G474" s="12"/>
    </row>
    <row r="475" spans="7:7" x14ac:dyDescent="0.15">
      <c r="G475" s="12"/>
    </row>
    <row r="476" spans="7:7" x14ac:dyDescent="0.15">
      <c r="G476" s="12"/>
    </row>
    <row r="477" spans="7:7" x14ac:dyDescent="0.15">
      <c r="G477" s="12"/>
    </row>
    <row r="478" spans="7:7" x14ac:dyDescent="0.15">
      <c r="G478" s="12"/>
    </row>
    <row r="479" spans="7:7" x14ac:dyDescent="0.15">
      <c r="G479" s="12"/>
    </row>
    <row r="480" spans="7:7" x14ac:dyDescent="0.15">
      <c r="G480" s="12"/>
    </row>
    <row r="481" spans="7:7" x14ac:dyDescent="0.15">
      <c r="G481" s="12"/>
    </row>
    <row r="482" spans="7:7" x14ac:dyDescent="0.15">
      <c r="G482" s="12"/>
    </row>
    <row r="483" spans="7:7" x14ac:dyDescent="0.15">
      <c r="G483" s="12"/>
    </row>
    <row r="484" spans="7:7" x14ac:dyDescent="0.15">
      <c r="G484" s="12"/>
    </row>
    <row r="485" spans="7:7" x14ac:dyDescent="0.15">
      <c r="G485" s="12"/>
    </row>
    <row r="486" spans="7:7" x14ac:dyDescent="0.15">
      <c r="G486" s="12"/>
    </row>
    <row r="487" spans="7:7" x14ac:dyDescent="0.15">
      <c r="G487" s="12"/>
    </row>
    <row r="488" spans="7:7" x14ac:dyDescent="0.15">
      <c r="G488" s="12"/>
    </row>
    <row r="489" spans="7:7" x14ac:dyDescent="0.15">
      <c r="G489" s="12"/>
    </row>
    <row r="490" spans="7:7" x14ac:dyDescent="0.15">
      <c r="G490" s="12"/>
    </row>
    <row r="491" spans="7:7" x14ac:dyDescent="0.15">
      <c r="G491" s="12"/>
    </row>
    <row r="492" spans="7:7" x14ac:dyDescent="0.15">
      <c r="G492" s="12"/>
    </row>
    <row r="493" spans="7:7" x14ac:dyDescent="0.15">
      <c r="G493" s="12"/>
    </row>
    <row r="494" spans="7:7" x14ac:dyDescent="0.15">
      <c r="G494" s="12"/>
    </row>
    <row r="495" spans="7:7" x14ac:dyDescent="0.15">
      <c r="G495" s="12"/>
    </row>
    <row r="496" spans="7:7" x14ac:dyDescent="0.15">
      <c r="G496" s="12"/>
    </row>
    <row r="497" spans="7:7" x14ac:dyDescent="0.15">
      <c r="G497" s="12"/>
    </row>
    <row r="498" spans="7:7" x14ac:dyDescent="0.15">
      <c r="G498" s="12"/>
    </row>
    <row r="499" spans="7:7" x14ac:dyDescent="0.15">
      <c r="G499" s="12"/>
    </row>
    <row r="500" spans="7:7" x14ac:dyDescent="0.15">
      <c r="G500" s="12"/>
    </row>
    <row r="501" spans="7:7" x14ac:dyDescent="0.15">
      <c r="G501" s="12"/>
    </row>
    <row r="502" spans="7:7" x14ac:dyDescent="0.15">
      <c r="G502" s="12"/>
    </row>
    <row r="503" spans="7:7" x14ac:dyDescent="0.15">
      <c r="G503" s="12"/>
    </row>
    <row r="504" spans="7:7" x14ac:dyDescent="0.15">
      <c r="G504" s="12"/>
    </row>
    <row r="505" spans="7:7" x14ac:dyDescent="0.15">
      <c r="G505" s="12"/>
    </row>
    <row r="506" spans="7:7" x14ac:dyDescent="0.15">
      <c r="G506" s="12"/>
    </row>
    <row r="507" spans="7:7" x14ac:dyDescent="0.15">
      <c r="G507" s="12"/>
    </row>
    <row r="508" spans="7:7" x14ac:dyDescent="0.15">
      <c r="G508" s="12"/>
    </row>
    <row r="509" spans="7:7" x14ac:dyDescent="0.15">
      <c r="G509" s="12"/>
    </row>
    <row r="510" spans="7:7" x14ac:dyDescent="0.15">
      <c r="G510" s="12"/>
    </row>
    <row r="511" spans="7:7" x14ac:dyDescent="0.15">
      <c r="G511" s="12"/>
    </row>
    <row r="512" spans="7:7" x14ac:dyDescent="0.15">
      <c r="G512" s="12"/>
    </row>
    <row r="513" spans="7:7" x14ac:dyDescent="0.15">
      <c r="G513" s="12"/>
    </row>
    <row r="514" spans="7:7" x14ac:dyDescent="0.15">
      <c r="G514" s="12"/>
    </row>
    <row r="515" spans="7:7" x14ac:dyDescent="0.15">
      <c r="G515" s="12"/>
    </row>
    <row r="516" spans="7:7" x14ac:dyDescent="0.15">
      <c r="G516" s="12"/>
    </row>
    <row r="517" spans="7:7" x14ac:dyDescent="0.15">
      <c r="G517" s="12"/>
    </row>
    <row r="518" spans="7:7" x14ac:dyDescent="0.15">
      <c r="G518" s="12"/>
    </row>
    <row r="519" spans="7:7" x14ac:dyDescent="0.15">
      <c r="G519" s="12"/>
    </row>
    <row r="520" spans="7:7" x14ac:dyDescent="0.15">
      <c r="G520" s="12"/>
    </row>
    <row r="521" spans="7:7" x14ac:dyDescent="0.15">
      <c r="G521" s="12"/>
    </row>
    <row r="522" spans="7:7" x14ac:dyDescent="0.15">
      <c r="G522" s="12"/>
    </row>
    <row r="523" spans="7:7" x14ac:dyDescent="0.15">
      <c r="G523" s="12"/>
    </row>
    <row r="524" spans="7:7" x14ac:dyDescent="0.15">
      <c r="G524" s="12"/>
    </row>
    <row r="525" spans="7:7" x14ac:dyDescent="0.15">
      <c r="G525" s="12"/>
    </row>
    <row r="526" spans="7:7" x14ac:dyDescent="0.15">
      <c r="G526" s="12"/>
    </row>
    <row r="527" spans="7:7" x14ac:dyDescent="0.15">
      <c r="G527" s="12"/>
    </row>
    <row r="528" spans="7:7" x14ac:dyDescent="0.15">
      <c r="G528" s="12"/>
    </row>
    <row r="529" spans="7:7" x14ac:dyDescent="0.15">
      <c r="G529" s="12"/>
    </row>
    <row r="530" spans="7:7" x14ac:dyDescent="0.15">
      <c r="G530" s="12"/>
    </row>
    <row r="531" spans="7:7" x14ac:dyDescent="0.15">
      <c r="G531" s="12"/>
    </row>
    <row r="532" spans="7:7" x14ac:dyDescent="0.15">
      <c r="G532" s="12"/>
    </row>
    <row r="533" spans="7:7" x14ac:dyDescent="0.15">
      <c r="G533" s="12"/>
    </row>
    <row r="534" spans="7:7" x14ac:dyDescent="0.15">
      <c r="G534" s="12"/>
    </row>
    <row r="535" spans="7:7" x14ac:dyDescent="0.15">
      <c r="G535" s="12"/>
    </row>
    <row r="536" spans="7:7" x14ac:dyDescent="0.15">
      <c r="G536" s="12"/>
    </row>
    <row r="537" spans="7:7" x14ac:dyDescent="0.15">
      <c r="G537" s="12"/>
    </row>
    <row r="538" spans="7:7" x14ac:dyDescent="0.15">
      <c r="G538" s="12"/>
    </row>
    <row r="539" spans="7:7" x14ac:dyDescent="0.15">
      <c r="G539" s="12"/>
    </row>
    <row r="540" spans="7:7" x14ac:dyDescent="0.15">
      <c r="G540" s="12"/>
    </row>
    <row r="541" spans="7:7" x14ac:dyDescent="0.15">
      <c r="G541" s="12"/>
    </row>
    <row r="542" spans="7:7" x14ac:dyDescent="0.15">
      <c r="G542" s="12"/>
    </row>
    <row r="543" spans="7:7" x14ac:dyDescent="0.15">
      <c r="G543" s="12"/>
    </row>
    <row r="544" spans="7:7" x14ac:dyDescent="0.15">
      <c r="G544" s="12"/>
    </row>
    <row r="545" spans="7:7" x14ac:dyDescent="0.15">
      <c r="G545" s="12"/>
    </row>
    <row r="546" spans="7:7" x14ac:dyDescent="0.15">
      <c r="G546" s="12"/>
    </row>
    <row r="547" spans="7:7" x14ac:dyDescent="0.15">
      <c r="G547" s="12"/>
    </row>
    <row r="548" spans="7:7" x14ac:dyDescent="0.15">
      <c r="G548" s="12"/>
    </row>
    <row r="549" spans="7:7" x14ac:dyDescent="0.15">
      <c r="G549" s="12"/>
    </row>
    <row r="550" spans="7:7" x14ac:dyDescent="0.15">
      <c r="G550" s="12"/>
    </row>
    <row r="551" spans="7:7" x14ac:dyDescent="0.15">
      <c r="G551" s="12"/>
    </row>
    <row r="552" spans="7:7" x14ac:dyDescent="0.15">
      <c r="G552" s="12"/>
    </row>
    <row r="553" spans="7:7" x14ac:dyDescent="0.15">
      <c r="G553" s="12"/>
    </row>
    <row r="554" spans="7:7" x14ac:dyDescent="0.15">
      <c r="G554" s="12"/>
    </row>
    <row r="555" spans="7:7" x14ac:dyDescent="0.15">
      <c r="G555" s="12"/>
    </row>
    <row r="556" spans="7:7" x14ac:dyDescent="0.15">
      <c r="G556" s="12"/>
    </row>
    <row r="557" spans="7:7" x14ac:dyDescent="0.15">
      <c r="G557" s="12"/>
    </row>
    <row r="558" spans="7:7" x14ac:dyDescent="0.15">
      <c r="G558" s="12"/>
    </row>
    <row r="559" spans="7:7" x14ac:dyDescent="0.15">
      <c r="G559" s="12"/>
    </row>
    <row r="560" spans="7:7" x14ac:dyDescent="0.15">
      <c r="G560" s="12"/>
    </row>
    <row r="561" spans="7:7" x14ac:dyDescent="0.15">
      <c r="G561" s="12"/>
    </row>
    <row r="562" spans="7:7" x14ac:dyDescent="0.15">
      <c r="G562" s="12"/>
    </row>
    <row r="563" spans="7:7" x14ac:dyDescent="0.15">
      <c r="G563" s="12"/>
    </row>
    <row r="564" spans="7:7" x14ac:dyDescent="0.15">
      <c r="G564" s="12"/>
    </row>
    <row r="565" spans="7:7" x14ac:dyDescent="0.15">
      <c r="G565" s="12"/>
    </row>
    <row r="566" spans="7:7" x14ac:dyDescent="0.15">
      <c r="G566" s="12"/>
    </row>
    <row r="567" spans="7:7" x14ac:dyDescent="0.15">
      <c r="G567" s="12"/>
    </row>
    <row r="568" spans="7:7" x14ac:dyDescent="0.15">
      <c r="G568" s="12"/>
    </row>
    <row r="569" spans="7:7" x14ac:dyDescent="0.15">
      <c r="G569" s="12"/>
    </row>
    <row r="570" spans="7:7" x14ac:dyDescent="0.15">
      <c r="G570" s="12"/>
    </row>
    <row r="571" spans="7:7" x14ac:dyDescent="0.15">
      <c r="G571" s="12"/>
    </row>
    <row r="572" spans="7:7" x14ac:dyDescent="0.15">
      <c r="G572" s="12"/>
    </row>
    <row r="573" spans="7:7" x14ac:dyDescent="0.15">
      <c r="G573" s="12"/>
    </row>
    <row r="574" spans="7:7" x14ac:dyDescent="0.15">
      <c r="G574" s="12"/>
    </row>
    <row r="575" spans="7:7" x14ac:dyDescent="0.15">
      <c r="G575" s="12"/>
    </row>
    <row r="576" spans="7:7" x14ac:dyDescent="0.15">
      <c r="G576" s="12"/>
    </row>
    <row r="577" spans="7:7" x14ac:dyDescent="0.15">
      <c r="G577" s="12"/>
    </row>
    <row r="578" spans="7:7" x14ac:dyDescent="0.15">
      <c r="G578" s="12"/>
    </row>
    <row r="579" spans="7:7" x14ac:dyDescent="0.15">
      <c r="G579" s="12"/>
    </row>
    <row r="580" spans="7:7" x14ac:dyDescent="0.15">
      <c r="G580" s="12"/>
    </row>
    <row r="581" spans="7:7" x14ac:dyDescent="0.15">
      <c r="G581" s="12"/>
    </row>
    <row r="582" spans="7:7" x14ac:dyDescent="0.15">
      <c r="G582" s="12"/>
    </row>
    <row r="583" spans="7:7" x14ac:dyDescent="0.15">
      <c r="G583" s="12"/>
    </row>
    <row r="584" spans="7:7" x14ac:dyDescent="0.15">
      <c r="G584" s="12"/>
    </row>
    <row r="585" spans="7:7" x14ac:dyDescent="0.15">
      <c r="G585" s="12"/>
    </row>
    <row r="586" spans="7:7" x14ac:dyDescent="0.15">
      <c r="G586" s="12"/>
    </row>
    <row r="587" spans="7:7" x14ac:dyDescent="0.15">
      <c r="G587" s="12"/>
    </row>
    <row r="588" spans="7:7" x14ac:dyDescent="0.15">
      <c r="G588" s="12"/>
    </row>
    <row r="589" spans="7:7" x14ac:dyDescent="0.15">
      <c r="G589" s="12"/>
    </row>
    <row r="590" spans="7:7" x14ac:dyDescent="0.15">
      <c r="G590" s="12"/>
    </row>
    <row r="591" spans="7:7" x14ac:dyDescent="0.15">
      <c r="G591" s="12"/>
    </row>
    <row r="592" spans="7:7" x14ac:dyDescent="0.15">
      <c r="G592" s="12"/>
    </row>
    <row r="593" spans="7:7" x14ac:dyDescent="0.15">
      <c r="G593" s="12"/>
    </row>
    <row r="594" spans="7:7" x14ac:dyDescent="0.15">
      <c r="G594" s="12"/>
    </row>
    <row r="595" spans="7:7" x14ac:dyDescent="0.15">
      <c r="G595" s="12"/>
    </row>
    <row r="596" spans="7:7" x14ac:dyDescent="0.15">
      <c r="G596" s="12"/>
    </row>
    <row r="597" spans="7:7" x14ac:dyDescent="0.15">
      <c r="G597" s="12"/>
    </row>
    <row r="598" spans="7:7" x14ac:dyDescent="0.15">
      <c r="G598" s="12"/>
    </row>
    <row r="599" spans="7:7" x14ac:dyDescent="0.15">
      <c r="G599" s="12"/>
    </row>
    <row r="600" spans="7:7" x14ac:dyDescent="0.15">
      <c r="G600" s="12"/>
    </row>
    <row r="601" spans="7:7" x14ac:dyDescent="0.15">
      <c r="G601" s="12"/>
    </row>
    <row r="602" spans="7:7" x14ac:dyDescent="0.15">
      <c r="G602" s="12"/>
    </row>
    <row r="603" spans="7:7" x14ac:dyDescent="0.15">
      <c r="G603" s="12"/>
    </row>
    <row r="604" spans="7:7" x14ac:dyDescent="0.15">
      <c r="G604" s="12"/>
    </row>
    <row r="605" spans="7:7" x14ac:dyDescent="0.15">
      <c r="G605" s="12"/>
    </row>
    <row r="606" spans="7:7" x14ac:dyDescent="0.15">
      <c r="G606" s="12"/>
    </row>
    <row r="607" spans="7:7" x14ac:dyDescent="0.15">
      <c r="G607" s="12"/>
    </row>
    <row r="608" spans="7:7" x14ac:dyDescent="0.15">
      <c r="G608" s="12"/>
    </row>
    <row r="609" spans="7:7" x14ac:dyDescent="0.15">
      <c r="G609" s="12"/>
    </row>
    <row r="610" spans="7:7" x14ac:dyDescent="0.15">
      <c r="G610" s="12"/>
    </row>
    <row r="611" spans="7:7" x14ac:dyDescent="0.15">
      <c r="G611" s="12"/>
    </row>
    <row r="612" spans="7:7" x14ac:dyDescent="0.15">
      <c r="G612" s="12"/>
    </row>
    <row r="613" spans="7:7" x14ac:dyDescent="0.15">
      <c r="G613" s="12"/>
    </row>
    <row r="614" spans="7:7" x14ac:dyDescent="0.15">
      <c r="G614" s="12"/>
    </row>
    <row r="615" spans="7:7" x14ac:dyDescent="0.15">
      <c r="G615" s="12"/>
    </row>
    <row r="616" spans="7:7" x14ac:dyDescent="0.15">
      <c r="G616" s="12"/>
    </row>
    <row r="617" spans="7:7" x14ac:dyDescent="0.15">
      <c r="G617" s="12"/>
    </row>
    <row r="618" spans="7:7" x14ac:dyDescent="0.15">
      <c r="G618" s="12"/>
    </row>
    <row r="619" spans="7:7" x14ac:dyDescent="0.15">
      <c r="G619" s="12"/>
    </row>
    <row r="620" spans="7:7" x14ac:dyDescent="0.15">
      <c r="G620" s="12"/>
    </row>
    <row r="621" spans="7:7" x14ac:dyDescent="0.15">
      <c r="G621" s="12"/>
    </row>
    <row r="622" spans="7:7" x14ac:dyDescent="0.15">
      <c r="G622" s="12"/>
    </row>
    <row r="623" spans="7:7" x14ac:dyDescent="0.15">
      <c r="G623" s="12"/>
    </row>
    <row r="624" spans="7:7" x14ac:dyDescent="0.15">
      <c r="G624" s="12"/>
    </row>
    <row r="625" spans="7:7" x14ac:dyDescent="0.15">
      <c r="G625" s="12"/>
    </row>
    <row r="626" spans="7:7" x14ac:dyDescent="0.15">
      <c r="G626" s="12"/>
    </row>
    <row r="627" spans="7:7" x14ac:dyDescent="0.15">
      <c r="G627" s="12"/>
    </row>
    <row r="628" spans="7:7" x14ac:dyDescent="0.15">
      <c r="G628" s="12"/>
    </row>
    <row r="629" spans="7:7" x14ac:dyDescent="0.15">
      <c r="G629" s="12"/>
    </row>
    <row r="630" spans="7:7" x14ac:dyDescent="0.15">
      <c r="G630" s="12"/>
    </row>
    <row r="631" spans="7:7" x14ac:dyDescent="0.15">
      <c r="G631" s="12"/>
    </row>
    <row r="632" spans="7:7" x14ac:dyDescent="0.15">
      <c r="G632" s="12"/>
    </row>
    <row r="633" spans="7:7" x14ac:dyDescent="0.15">
      <c r="G633" s="12"/>
    </row>
    <row r="634" spans="7:7" x14ac:dyDescent="0.15">
      <c r="G634" s="12"/>
    </row>
    <row r="635" spans="7:7" x14ac:dyDescent="0.15">
      <c r="G635" s="12"/>
    </row>
    <row r="636" spans="7:7" x14ac:dyDescent="0.15">
      <c r="G636" s="12"/>
    </row>
    <row r="637" spans="7:7" x14ac:dyDescent="0.15">
      <c r="G637" s="12"/>
    </row>
    <row r="638" spans="7:7" x14ac:dyDescent="0.15">
      <c r="G638" s="12"/>
    </row>
    <row r="639" spans="7:7" x14ac:dyDescent="0.15">
      <c r="G639" s="12"/>
    </row>
    <row r="640" spans="7:7" x14ac:dyDescent="0.15">
      <c r="G640" s="12"/>
    </row>
    <row r="641" spans="7:7" x14ac:dyDescent="0.15">
      <c r="G641" s="12"/>
    </row>
    <row r="642" spans="7:7" x14ac:dyDescent="0.15">
      <c r="G642" s="12"/>
    </row>
    <row r="643" spans="7:7" x14ac:dyDescent="0.15">
      <c r="G643" s="12"/>
    </row>
    <row r="644" spans="7:7" x14ac:dyDescent="0.15">
      <c r="G644" s="12"/>
    </row>
    <row r="645" spans="7:7" x14ac:dyDescent="0.15">
      <c r="G645" s="12"/>
    </row>
    <row r="646" spans="7:7" x14ac:dyDescent="0.15">
      <c r="G646" s="12"/>
    </row>
    <row r="647" spans="7:7" x14ac:dyDescent="0.15">
      <c r="G647" s="12"/>
    </row>
    <row r="648" spans="7:7" x14ac:dyDescent="0.15">
      <c r="G648" s="12"/>
    </row>
    <row r="649" spans="7:7" x14ac:dyDescent="0.15">
      <c r="G649" s="12"/>
    </row>
    <row r="650" spans="7:7" x14ac:dyDescent="0.15">
      <c r="G650" s="12"/>
    </row>
    <row r="651" spans="7:7" x14ac:dyDescent="0.15">
      <c r="G651" s="12"/>
    </row>
    <row r="652" spans="7:7" x14ac:dyDescent="0.15">
      <c r="G652" s="12"/>
    </row>
    <row r="653" spans="7:7" x14ac:dyDescent="0.15">
      <c r="G653" s="12"/>
    </row>
    <row r="654" spans="7:7" x14ac:dyDescent="0.15">
      <c r="G654" s="12"/>
    </row>
    <row r="655" spans="7:7" x14ac:dyDescent="0.15">
      <c r="G655" s="12"/>
    </row>
    <row r="656" spans="7:7" x14ac:dyDescent="0.15">
      <c r="G656" s="12"/>
    </row>
    <row r="657" spans="7:7" x14ac:dyDescent="0.15">
      <c r="G657" s="12"/>
    </row>
    <row r="658" spans="7:7" x14ac:dyDescent="0.15">
      <c r="G658" s="12"/>
    </row>
    <row r="659" spans="7:7" x14ac:dyDescent="0.15">
      <c r="G659" s="12"/>
    </row>
    <row r="660" spans="7:7" x14ac:dyDescent="0.15">
      <c r="G660" s="12"/>
    </row>
    <row r="661" spans="7:7" x14ac:dyDescent="0.15">
      <c r="G661" s="12"/>
    </row>
    <row r="662" spans="7:7" x14ac:dyDescent="0.15">
      <c r="G662" s="12"/>
    </row>
    <row r="663" spans="7:7" x14ac:dyDescent="0.15">
      <c r="G663" s="12"/>
    </row>
    <row r="664" spans="7:7" x14ac:dyDescent="0.15">
      <c r="G664" s="12"/>
    </row>
    <row r="665" spans="7:7" x14ac:dyDescent="0.15">
      <c r="G665" s="12"/>
    </row>
    <row r="666" spans="7:7" x14ac:dyDescent="0.15">
      <c r="G666" s="12"/>
    </row>
    <row r="667" spans="7:7" x14ac:dyDescent="0.15">
      <c r="G667" s="12"/>
    </row>
    <row r="668" spans="7:7" x14ac:dyDescent="0.15">
      <c r="G668" s="12"/>
    </row>
    <row r="669" spans="7:7" x14ac:dyDescent="0.15">
      <c r="G669" s="12"/>
    </row>
    <row r="670" spans="7:7" x14ac:dyDescent="0.15">
      <c r="G670" s="12"/>
    </row>
    <row r="671" spans="7:7" x14ac:dyDescent="0.15">
      <c r="G671" s="12"/>
    </row>
    <row r="672" spans="7:7" x14ac:dyDescent="0.15">
      <c r="G672" s="12"/>
    </row>
    <row r="673" spans="7:7" x14ac:dyDescent="0.15">
      <c r="G673" s="12"/>
    </row>
    <row r="674" spans="7:7" x14ac:dyDescent="0.15">
      <c r="G674" s="12"/>
    </row>
    <row r="675" spans="7:7" x14ac:dyDescent="0.15">
      <c r="G675" s="12"/>
    </row>
    <row r="676" spans="7:7" x14ac:dyDescent="0.15">
      <c r="G676" s="12"/>
    </row>
    <row r="677" spans="7:7" x14ac:dyDescent="0.15">
      <c r="G677" s="12"/>
    </row>
    <row r="678" spans="7:7" x14ac:dyDescent="0.15">
      <c r="G678" s="12"/>
    </row>
    <row r="679" spans="7:7" x14ac:dyDescent="0.15">
      <c r="G679" s="12"/>
    </row>
    <row r="680" spans="7:7" x14ac:dyDescent="0.15">
      <c r="G680" s="12"/>
    </row>
    <row r="681" spans="7:7" x14ac:dyDescent="0.15">
      <c r="G681" s="12"/>
    </row>
    <row r="682" spans="7:7" x14ac:dyDescent="0.15">
      <c r="G682" s="12"/>
    </row>
    <row r="683" spans="7:7" x14ac:dyDescent="0.15">
      <c r="G683" s="12"/>
    </row>
    <row r="684" spans="7:7" x14ac:dyDescent="0.15">
      <c r="G684" s="12"/>
    </row>
    <row r="685" spans="7:7" x14ac:dyDescent="0.15">
      <c r="G685" s="12"/>
    </row>
    <row r="686" spans="7:7" x14ac:dyDescent="0.15">
      <c r="G686" s="12"/>
    </row>
    <row r="687" spans="7:7" x14ac:dyDescent="0.15">
      <c r="G687" s="12"/>
    </row>
    <row r="688" spans="7:7" x14ac:dyDescent="0.15">
      <c r="G688" s="12"/>
    </row>
    <row r="689" spans="7:7" x14ac:dyDescent="0.15">
      <c r="G689" s="12"/>
    </row>
    <row r="690" spans="7:7" x14ac:dyDescent="0.15">
      <c r="G690" s="12"/>
    </row>
    <row r="691" spans="7:7" x14ac:dyDescent="0.15">
      <c r="G691" s="12"/>
    </row>
    <row r="692" spans="7:7" x14ac:dyDescent="0.15">
      <c r="G692" s="12"/>
    </row>
    <row r="693" spans="7:7" x14ac:dyDescent="0.15">
      <c r="G693" s="12"/>
    </row>
    <row r="694" spans="7:7" x14ac:dyDescent="0.15">
      <c r="G694" s="12"/>
    </row>
    <row r="695" spans="7:7" x14ac:dyDescent="0.15">
      <c r="G695" s="12"/>
    </row>
    <row r="696" spans="7:7" x14ac:dyDescent="0.15">
      <c r="G696" s="12"/>
    </row>
    <row r="697" spans="7:7" x14ac:dyDescent="0.15">
      <c r="G697" s="12"/>
    </row>
    <row r="698" spans="7:7" x14ac:dyDescent="0.15">
      <c r="G698" s="12"/>
    </row>
    <row r="699" spans="7:7" x14ac:dyDescent="0.15">
      <c r="G699" s="12"/>
    </row>
    <row r="700" spans="7:7" x14ac:dyDescent="0.15">
      <c r="G700" s="12"/>
    </row>
    <row r="701" spans="7:7" x14ac:dyDescent="0.15">
      <c r="G701" s="12"/>
    </row>
    <row r="702" spans="7:7" x14ac:dyDescent="0.15">
      <c r="G702" s="12"/>
    </row>
    <row r="703" spans="7:7" x14ac:dyDescent="0.15">
      <c r="G703" s="12"/>
    </row>
    <row r="704" spans="7:7" x14ac:dyDescent="0.15">
      <c r="G704" s="12"/>
    </row>
    <row r="705" spans="7:7" x14ac:dyDescent="0.15">
      <c r="G705" s="12"/>
    </row>
    <row r="706" spans="7:7" x14ac:dyDescent="0.15">
      <c r="G706" s="12"/>
    </row>
    <row r="707" spans="7:7" x14ac:dyDescent="0.15">
      <c r="G707" s="12"/>
    </row>
    <row r="708" spans="7:7" x14ac:dyDescent="0.15">
      <c r="G708" s="12"/>
    </row>
    <row r="709" spans="7:7" x14ac:dyDescent="0.15">
      <c r="G709" s="12"/>
    </row>
    <row r="710" spans="7:7" x14ac:dyDescent="0.15">
      <c r="G710" s="12"/>
    </row>
    <row r="711" spans="7:7" x14ac:dyDescent="0.15">
      <c r="G711" s="12"/>
    </row>
    <row r="712" spans="7:7" x14ac:dyDescent="0.15">
      <c r="G712" s="12"/>
    </row>
    <row r="713" spans="7:7" x14ac:dyDescent="0.15">
      <c r="G713" s="12"/>
    </row>
    <row r="714" spans="7:7" x14ac:dyDescent="0.15">
      <c r="G714" s="12"/>
    </row>
    <row r="715" spans="7:7" x14ac:dyDescent="0.15">
      <c r="G715" s="12"/>
    </row>
    <row r="716" spans="7:7" x14ac:dyDescent="0.15">
      <c r="G716" s="12"/>
    </row>
    <row r="717" spans="7:7" x14ac:dyDescent="0.15">
      <c r="G717" s="12"/>
    </row>
    <row r="718" spans="7:7" x14ac:dyDescent="0.15">
      <c r="G718" s="12"/>
    </row>
    <row r="719" spans="7:7" x14ac:dyDescent="0.15">
      <c r="G719" s="12"/>
    </row>
    <row r="720" spans="7:7" x14ac:dyDescent="0.15">
      <c r="G720" s="12"/>
    </row>
    <row r="721" spans="7:7" x14ac:dyDescent="0.15">
      <c r="G721" s="12"/>
    </row>
    <row r="722" spans="7:7" x14ac:dyDescent="0.15">
      <c r="G722" s="12"/>
    </row>
    <row r="723" spans="7:7" x14ac:dyDescent="0.15">
      <c r="G723" s="12"/>
    </row>
    <row r="724" spans="7:7" x14ac:dyDescent="0.15">
      <c r="G724" s="12"/>
    </row>
    <row r="725" spans="7:7" x14ac:dyDescent="0.15">
      <c r="G725" s="12"/>
    </row>
    <row r="726" spans="7:7" x14ac:dyDescent="0.15">
      <c r="G726" s="12"/>
    </row>
    <row r="727" spans="7:7" x14ac:dyDescent="0.15">
      <c r="G727" s="12"/>
    </row>
    <row r="728" spans="7:7" x14ac:dyDescent="0.15">
      <c r="G728" s="12"/>
    </row>
    <row r="729" spans="7:7" x14ac:dyDescent="0.15">
      <c r="G729" s="12"/>
    </row>
    <row r="730" spans="7:7" x14ac:dyDescent="0.15">
      <c r="G730" s="12"/>
    </row>
    <row r="731" spans="7:7" x14ac:dyDescent="0.15">
      <c r="G731" s="12"/>
    </row>
    <row r="732" spans="7:7" x14ac:dyDescent="0.15">
      <c r="G732" s="12"/>
    </row>
    <row r="733" spans="7:7" x14ac:dyDescent="0.15">
      <c r="G733" s="12"/>
    </row>
    <row r="734" spans="7:7" x14ac:dyDescent="0.15">
      <c r="G734" s="12"/>
    </row>
    <row r="735" spans="7:7" x14ac:dyDescent="0.15">
      <c r="G735" s="12"/>
    </row>
    <row r="736" spans="7:7" x14ac:dyDescent="0.15">
      <c r="G736" s="12"/>
    </row>
    <row r="737" spans="7:7" x14ac:dyDescent="0.15">
      <c r="G737" s="12"/>
    </row>
    <row r="738" spans="7:7" x14ac:dyDescent="0.15">
      <c r="G738" s="12"/>
    </row>
    <row r="739" spans="7:7" x14ac:dyDescent="0.15">
      <c r="G739" s="12"/>
    </row>
    <row r="740" spans="7:7" x14ac:dyDescent="0.15">
      <c r="G740" s="12"/>
    </row>
    <row r="741" spans="7:7" x14ac:dyDescent="0.15">
      <c r="G741" s="12"/>
    </row>
    <row r="742" spans="7:7" x14ac:dyDescent="0.15">
      <c r="G742" s="12"/>
    </row>
    <row r="743" spans="7:7" x14ac:dyDescent="0.15">
      <c r="G743" s="12"/>
    </row>
    <row r="744" spans="7:7" x14ac:dyDescent="0.15">
      <c r="G744" s="12"/>
    </row>
    <row r="745" spans="7:7" x14ac:dyDescent="0.15">
      <c r="G745" s="12"/>
    </row>
    <row r="746" spans="7:7" x14ac:dyDescent="0.15">
      <c r="G746" s="12"/>
    </row>
    <row r="747" spans="7:7" x14ac:dyDescent="0.15">
      <c r="G747" s="12"/>
    </row>
    <row r="748" spans="7:7" x14ac:dyDescent="0.15">
      <c r="G748" s="12"/>
    </row>
    <row r="749" spans="7:7" x14ac:dyDescent="0.15">
      <c r="G749" s="12"/>
    </row>
    <row r="750" spans="7:7" x14ac:dyDescent="0.15">
      <c r="G750" s="12"/>
    </row>
    <row r="751" spans="7:7" x14ac:dyDescent="0.15">
      <c r="G751" s="12"/>
    </row>
    <row r="752" spans="7:7" x14ac:dyDescent="0.15">
      <c r="G752" s="12"/>
    </row>
    <row r="753" spans="7:7" x14ac:dyDescent="0.15">
      <c r="G753" s="12"/>
    </row>
    <row r="754" spans="7:7" x14ac:dyDescent="0.15">
      <c r="G754" s="12"/>
    </row>
    <row r="755" spans="7:7" x14ac:dyDescent="0.15">
      <c r="G755" s="12"/>
    </row>
    <row r="756" spans="7:7" x14ac:dyDescent="0.15">
      <c r="G756" s="12"/>
    </row>
    <row r="757" spans="7:7" x14ac:dyDescent="0.15">
      <c r="G757" s="12"/>
    </row>
    <row r="758" spans="7:7" x14ac:dyDescent="0.15">
      <c r="G758" s="12"/>
    </row>
    <row r="759" spans="7:7" x14ac:dyDescent="0.15">
      <c r="G759" s="12"/>
    </row>
    <row r="760" spans="7:7" x14ac:dyDescent="0.15">
      <c r="G760" s="12"/>
    </row>
    <row r="761" spans="7:7" x14ac:dyDescent="0.15">
      <c r="G761" s="12"/>
    </row>
    <row r="762" spans="7:7" x14ac:dyDescent="0.15">
      <c r="G762" s="12"/>
    </row>
    <row r="763" spans="7:7" x14ac:dyDescent="0.15">
      <c r="G763" s="12"/>
    </row>
    <row r="764" spans="7:7" x14ac:dyDescent="0.15">
      <c r="G764" s="12"/>
    </row>
    <row r="765" spans="7:7" x14ac:dyDescent="0.15">
      <c r="G765" s="12"/>
    </row>
    <row r="766" spans="7:7" x14ac:dyDescent="0.15">
      <c r="G766" s="12"/>
    </row>
    <row r="767" spans="7:7" x14ac:dyDescent="0.15">
      <c r="G767" s="12"/>
    </row>
    <row r="768" spans="7:7" x14ac:dyDescent="0.15">
      <c r="G768" s="12"/>
    </row>
    <row r="769" spans="7:7" x14ac:dyDescent="0.15">
      <c r="G769" s="12"/>
    </row>
    <row r="770" spans="7:7" x14ac:dyDescent="0.15">
      <c r="G770" s="12"/>
    </row>
    <row r="771" spans="7:7" x14ac:dyDescent="0.15">
      <c r="G771" s="12"/>
    </row>
    <row r="772" spans="7:7" x14ac:dyDescent="0.15">
      <c r="G772" s="12"/>
    </row>
    <row r="773" spans="7:7" x14ac:dyDescent="0.15">
      <c r="G773" s="12"/>
    </row>
    <row r="774" spans="7:7" x14ac:dyDescent="0.15">
      <c r="G774" s="12"/>
    </row>
    <row r="775" spans="7:7" x14ac:dyDescent="0.15">
      <c r="G775" s="12"/>
    </row>
    <row r="776" spans="7:7" x14ac:dyDescent="0.15">
      <c r="G776" s="12"/>
    </row>
    <row r="777" spans="7:7" x14ac:dyDescent="0.15">
      <c r="G777" s="12"/>
    </row>
    <row r="778" spans="7:7" x14ac:dyDescent="0.15">
      <c r="G778" s="12"/>
    </row>
    <row r="779" spans="7:7" x14ac:dyDescent="0.15">
      <c r="G779" s="12"/>
    </row>
    <row r="780" spans="7:7" x14ac:dyDescent="0.15">
      <c r="G780" s="12"/>
    </row>
    <row r="781" spans="7:7" x14ac:dyDescent="0.15">
      <c r="G781" s="12"/>
    </row>
    <row r="782" spans="7:7" x14ac:dyDescent="0.15">
      <c r="G782" s="12"/>
    </row>
    <row r="783" spans="7:7" x14ac:dyDescent="0.15">
      <c r="G783" s="12"/>
    </row>
    <row r="784" spans="7:7" x14ac:dyDescent="0.15">
      <c r="G784" s="12"/>
    </row>
    <row r="785" spans="7:7" x14ac:dyDescent="0.15">
      <c r="G785" s="12"/>
    </row>
    <row r="786" spans="7:7" x14ac:dyDescent="0.15">
      <c r="G786" s="12"/>
    </row>
    <row r="787" spans="7:7" x14ac:dyDescent="0.15">
      <c r="G787" s="12"/>
    </row>
    <row r="788" spans="7:7" x14ac:dyDescent="0.15">
      <c r="G788" s="12"/>
    </row>
    <row r="789" spans="7:7" x14ac:dyDescent="0.15">
      <c r="G789" s="12"/>
    </row>
    <row r="790" spans="7:7" x14ac:dyDescent="0.15">
      <c r="G790" s="12"/>
    </row>
    <row r="791" spans="7:7" x14ac:dyDescent="0.15">
      <c r="G791" s="12"/>
    </row>
    <row r="792" spans="7:7" x14ac:dyDescent="0.15">
      <c r="G792" s="12"/>
    </row>
    <row r="793" spans="7:7" x14ac:dyDescent="0.15">
      <c r="G793" s="12"/>
    </row>
    <row r="794" spans="7:7" x14ac:dyDescent="0.15">
      <c r="G794" s="12"/>
    </row>
    <row r="795" spans="7:7" x14ac:dyDescent="0.15">
      <c r="G795" s="12"/>
    </row>
    <row r="796" spans="7:7" x14ac:dyDescent="0.15">
      <c r="G796" s="12"/>
    </row>
    <row r="797" spans="7:7" x14ac:dyDescent="0.15">
      <c r="G797" s="12"/>
    </row>
    <row r="798" spans="7:7" x14ac:dyDescent="0.15">
      <c r="G798" s="12"/>
    </row>
    <row r="799" spans="7:7" x14ac:dyDescent="0.15">
      <c r="G799" s="12"/>
    </row>
    <row r="800" spans="7:7" x14ac:dyDescent="0.15">
      <c r="G800" s="12"/>
    </row>
    <row r="801" spans="7:7" x14ac:dyDescent="0.15">
      <c r="G801" s="12"/>
    </row>
    <row r="802" spans="7:7" x14ac:dyDescent="0.15">
      <c r="G802" s="12"/>
    </row>
    <row r="803" spans="7:7" x14ac:dyDescent="0.15">
      <c r="G803" s="12"/>
    </row>
    <row r="804" spans="7:7" x14ac:dyDescent="0.15">
      <c r="G804" s="12"/>
    </row>
    <row r="805" spans="7:7" x14ac:dyDescent="0.15">
      <c r="G805" s="12"/>
    </row>
    <row r="806" spans="7:7" x14ac:dyDescent="0.15">
      <c r="G806" s="12"/>
    </row>
    <row r="807" spans="7:7" x14ac:dyDescent="0.15">
      <c r="G807" s="12"/>
    </row>
    <row r="808" spans="7:7" x14ac:dyDescent="0.15">
      <c r="G808" s="12"/>
    </row>
    <row r="809" spans="7:7" x14ac:dyDescent="0.15">
      <c r="G809" s="12"/>
    </row>
    <row r="810" spans="7:7" x14ac:dyDescent="0.15">
      <c r="G810" s="12"/>
    </row>
    <row r="811" spans="7:7" x14ac:dyDescent="0.15">
      <c r="G811" s="12"/>
    </row>
    <row r="812" spans="7:7" x14ac:dyDescent="0.15">
      <c r="G812" s="12"/>
    </row>
    <row r="813" spans="7:7" x14ac:dyDescent="0.15">
      <c r="G813" s="12"/>
    </row>
    <row r="814" spans="7:7" x14ac:dyDescent="0.15">
      <c r="G814" s="12"/>
    </row>
    <row r="815" spans="7:7" x14ac:dyDescent="0.15">
      <c r="G815" s="12"/>
    </row>
    <row r="816" spans="7:7" x14ac:dyDescent="0.15">
      <c r="G816" s="12"/>
    </row>
    <row r="817" spans="7:7" x14ac:dyDescent="0.15">
      <c r="G817" s="12"/>
    </row>
    <row r="818" spans="7:7" x14ac:dyDescent="0.15">
      <c r="G818" s="12"/>
    </row>
    <row r="819" spans="7:7" x14ac:dyDescent="0.15">
      <c r="G819" s="12"/>
    </row>
    <row r="820" spans="7:7" x14ac:dyDescent="0.15">
      <c r="G820" s="12"/>
    </row>
    <row r="821" spans="7:7" x14ac:dyDescent="0.15">
      <c r="G821" s="12"/>
    </row>
    <row r="822" spans="7:7" x14ac:dyDescent="0.15">
      <c r="G822" s="12"/>
    </row>
    <row r="823" spans="7:7" x14ac:dyDescent="0.15">
      <c r="G823" s="12"/>
    </row>
    <row r="824" spans="7:7" x14ac:dyDescent="0.15">
      <c r="G824" s="12"/>
    </row>
    <row r="825" spans="7:7" x14ac:dyDescent="0.15">
      <c r="G825" s="12"/>
    </row>
    <row r="826" spans="7:7" x14ac:dyDescent="0.15">
      <c r="G826" s="12"/>
    </row>
    <row r="827" spans="7:7" x14ac:dyDescent="0.15">
      <c r="G827" s="12"/>
    </row>
    <row r="828" spans="7:7" x14ac:dyDescent="0.15">
      <c r="G828" s="12"/>
    </row>
    <row r="829" spans="7:7" x14ac:dyDescent="0.15">
      <c r="G829" s="12"/>
    </row>
    <row r="830" spans="7:7" x14ac:dyDescent="0.15">
      <c r="G830" s="12"/>
    </row>
    <row r="831" spans="7:7" x14ac:dyDescent="0.15">
      <c r="G831" s="12"/>
    </row>
    <row r="832" spans="7:7" x14ac:dyDescent="0.15">
      <c r="G832" s="12"/>
    </row>
    <row r="833" spans="7:7" x14ac:dyDescent="0.15">
      <c r="G833" s="12"/>
    </row>
    <row r="834" spans="7:7" x14ac:dyDescent="0.15">
      <c r="G834" s="12"/>
    </row>
    <row r="835" spans="7:7" x14ac:dyDescent="0.15">
      <c r="G835" s="12"/>
    </row>
    <row r="836" spans="7:7" x14ac:dyDescent="0.15">
      <c r="G836" s="12"/>
    </row>
    <row r="837" spans="7:7" x14ac:dyDescent="0.15">
      <c r="G837" s="12"/>
    </row>
    <row r="838" spans="7:7" x14ac:dyDescent="0.15">
      <c r="G838" s="12"/>
    </row>
    <row r="839" spans="7:7" x14ac:dyDescent="0.15">
      <c r="G839" s="12"/>
    </row>
    <row r="840" spans="7:7" x14ac:dyDescent="0.15">
      <c r="G840" s="12"/>
    </row>
    <row r="841" spans="7:7" x14ac:dyDescent="0.15">
      <c r="G841" s="12"/>
    </row>
    <row r="842" spans="7:7" x14ac:dyDescent="0.15">
      <c r="G842" s="12"/>
    </row>
    <row r="843" spans="7:7" x14ac:dyDescent="0.15">
      <c r="G843" s="12"/>
    </row>
    <row r="844" spans="7:7" x14ac:dyDescent="0.15">
      <c r="G844" s="12"/>
    </row>
    <row r="845" spans="7:7" x14ac:dyDescent="0.15">
      <c r="G845" s="12"/>
    </row>
    <row r="846" spans="7:7" x14ac:dyDescent="0.15">
      <c r="G846" s="12"/>
    </row>
    <row r="847" spans="7:7" x14ac:dyDescent="0.15">
      <c r="G847" s="12"/>
    </row>
    <row r="848" spans="7:7" x14ac:dyDescent="0.15">
      <c r="G848" s="12"/>
    </row>
    <row r="849" spans="7:7" x14ac:dyDescent="0.15">
      <c r="G849" s="12"/>
    </row>
    <row r="850" spans="7:7" x14ac:dyDescent="0.15">
      <c r="G850" s="12"/>
    </row>
    <row r="851" spans="7:7" x14ac:dyDescent="0.15">
      <c r="G851" s="12"/>
    </row>
    <row r="852" spans="7:7" x14ac:dyDescent="0.15">
      <c r="G852" s="12"/>
    </row>
    <row r="853" spans="7:7" x14ac:dyDescent="0.15">
      <c r="G853" s="12"/>
    </row>
    <row r="854" spans="7:7" x14ac:dyDescent="0.15">
      <c r="G854" s="12"/>
    </row>
    <row r="855" spans="7:7" x14ac:dyDescent="0.15">
      <c r="G855" s="12"/>
    </row>
    <row r="856" spans="7:7" x14ac:dyDescent="0.15">
      <c r="G856" s="12"/>
    </row>
    <row r="857" spans="7:7" x14ac:dyDescent="0.15">
      <c r="G857" s="12"/>
    </row>
    <row r="858" spans="7:7" x14ac:dyDescent="0.15">
      <c r="G858" s="12"/>
    </row>
    <row r="859" spans="7:7" x14ac:dyDescent="0.15">
      <c r="G859" s="12"/>
    </row>
    <row r="860" spans="7:7" x14ac:dyDescent="0.15">
      <c r="G860" s="12"/>
    </row>
    <row r="861" spans="7:7" x14ac:dyDescent="0.15">
      <c r="G861" s="12"/>
    </row>
    <row r="862" spans="7:7" x14ac:dyDescent="0.15">
      <c r="G862" s="12"/>
    </row>
    <row r="863" spans="7:7" x14ac:dyDescent="0.15">
      <c r="G863" s="12"/>
    </row>
    <row r="864" spans="7:7" x14ac:dyDescent="0.15">
      <c r="G864" s="12"/>
    </row>
    <row r="865" spans="7:7" x14ac:dyDescent="0.15">
      <c r="G865" s="12"/>
    </row>
    <row r="866" spans="7:7" x14ac:dyDescent="0.15">
      <c r="G866" s="12"/>
    </row>
    <row r="867" spans="7:7" x14ac:dyDescent="0.15">
      <c r="G867" s="12"/>
    </row>
    <row r="868" spans="7:7" x14ac:dyDescent="0.15">
      <c r="G868" s="12"/>
    </row>
    <row r="869" spans="7:7" x14ac:dyDescent="0.15">
      <c r="G869" s="12"/>
    </row>
    <row r="870" spans="7:7" x14ac:dyDescent="0.15">
      <c r="G870" s="12"/>
    </row>
    <row r="871" spans="7:7" x14ac:dyDescent="0.15">
      <c r="G871" s="12"/>
    </row>
    <row r="872" spans="7:7" x14ac:dyDescent="0.15">
      <c r="G872" s="12"/>
    </row>
    <row r="873" spans="7:7" x14ac:dyDescent="0.15">
      <c r="G873" s="12"/>
    </row>
    <row r="874" spans="7:7" x14ac:dyDescent="0.15">
      <c r="G874" s="12"/>
    </row>
    <row r="875" spans="7:7" x14ac:dyDescent="0.15">
      <c r="G875" s="12"/>
    </row>
    <row r="876" spans="7:7" x14ac:dyDescent="0.15">
      <c r="G876" s="12"/>
    </row>
    <row r="877" spans="7:7" x14ac:dyDescent="0.15">
      <c r="G877" s="12"/>
    </row>
    <row r="878" spans="7:7" x14ac:dyDescent="0.15">
      <c r="G878" s="12"/>
    </row>
    <row r="879" spans="7:7" x14ac:dyDescent="0.15">
      <c r="G879" s="12"/>
    </row>
    <row r="880" spans="7:7" x14ac:dyDescent="0.15">
      <c r="G880" s="12"/>
    </row>
    <row r="881" spans="7:7" x14ac:dyDescent="0.15">
      <c r="G881" s="12"/>
    </row>
    <row r="882" spans="7:7" x14ac:dyDescent="0.15">
      <c r="G882" s="12"/>
    </row>
    <row r="883" spans="7:7" x14ac:dyDescent="0.15">
      <c r="G883" s="12"/>
    </row>
    <row r="884" spans="7:7" x14ac:dyDescent="0.15">
      <c r="G884" s="12"/>
    </row>
    <row r="885" spans="7:7" x14ac:dyDescent="0.15">
      <c r="G885" s="12"/>
    </row>
    <row r="886" spans="7:7" x14ac:dyDescent="0.15">
      <c r="G886" s="12"/>
    </row>
    <row r="887" spans="7:7" x14ac:dyDescent="0.15">
      <c r="G887" s="12"/>
    </row>
    <row r="888" spans="7:7" x14ac:dyDescent="0.15">
      <c r="G888" s="12"/>
    </row>
    <row r="889" spans="7:7" x14ac:dyDescent="0.15">
      <c r="G889" s="12"/>
    </row>
    <row r="890" spans="7:7" x14ac:dyDescent="0.15">
      <c r="G890" s="12"/>
    </row>
    <row r="891" spans="7:7" x14ac:dyDescent="0.15">
      <c r="G891" s="12"/>
    </row>
    <row r="892" spans="7:7" x14ac:dyDescent="0.15">
      <c r="G892" s="12"/>
    </row>
    <row r="893" spans="7:7" x14ac:dyDescent="0.15">
      <c r="G893" s="12"/>
    </row>
    <row r="894" spans="7:7" x14ac:dyDescent="0.15">
      <c r="G894" s="12"/>
    </row>
    <row r="895" spans="7:7" x14ac:dyDescent="0.15">
      <c r="G895" s="12"/>
    </row>
    <row r="896" spans="7:7" x14ac:dyDescent="0.15">
      <c r="G896" s="12"/>
    </row>
    <row r="897" spans="7:7" x14ac:dyDescent="0.15">
      <c r="G897" s="12"/>
    </row>
    <row r="898" spans="7:7" x14ac:dyDescent="0.15">
      <c r="G898" s="12"/>
    </row>
    <row r="899" spans="7:7" x14ac:dyDescent="0.15">
      <c r="G899" s="12"/>
    </row>
    <row r="900" spans="7:7" x14ac:dyDescent="0.15">
      <c r="G900" s="12"/>
    </row>
    <row r="901" spans="7:7" x14ac:dyDescent="0.15">
      <c r="G901" s="12"/>
    </row>
    <row r="902" spans="7:7" x14ac:dyDescent="0.15">
      <c r="G902" s="12"/>
    </row>
    <row r="903" spans="7:7" x14ac:dyDescent="0.15">
      <c r="G903" s="12"/>
    </row>
    <row r="904" spans="7:7" x14ac:dyDescent="0.15">
      <c r="G904" s="12"/>
    </row>
    <row r="905" spans="7:7" x14ac:dyDescent="0.15">
      <c r="G905" s="12"/>
    </row>
    <row r="906" spans="7:7" x14ac:dyDescent="0.15">
      <c r="G906" s="12"/>
    </row>
    <row r="907" spans="7:7" x14ac:dyDescent="0.15">
      <c r="G907" s="12"/>
    </row>
    <row r="908" spans="7:7" x14ac:dyDescent="0.15">
      <c r="G908" s="12"/>
    </row>
    <row r="909" spans="7:7" x14ac:dyDescent="0.15">
      <c r="G909" s="12"/>
    </row>
    <row r="910" spans="7:7" x14ac:dyDescent="0.15">
      <c r="G910" s="12"/>
    </row>
    <row r="911" spans="7:7" x14ac:dyDescent="0.15">
      <c r="G911" s="12"/>
    </row>
    <row r="912" spans="7:7" x14ac:dyDescent="0.15">
      <c r="G912" s="12"/>
    </row>
    <row r="913" spans="7:7" x14ac:dyDescent="0.15">
      <c r="G913" s="12"/>
    </row>
    <row r="914" spans="7:7" x14ac:dyDescent="0.15">
      <c r="G914" s="12"/>
    </row>
    <row r="915" spans="7:7" x14ac:dyDescent="0.15">
      <c r="G915" s="12"/>
    </row>
    <row r="916" spans="7:7" x14ac:dyDescent="0.15">
      <c r="G916" s="12"/>
    </row>
    <row r="917" spans="7:7" x14ac:dyDescent="0.15">
      <c r="G917" s="12"/>
    </row>
    <row r="918" spans="7:7" x14ac:dyDescent="0.15">
      <c r="G918" s="12"/>
    </row>
    <row r="919" spans="7:7" x14ac:dyDescent="0.15">
      <c r="G919" s="12"/>
    </row>
    <row r="920" spans="7:7" x14ac:dyDescent="0.15">
      <c r="G920" s="12"/>
    </row>
    <row r="921" spans="7:7" x14ac:dyDescent="0.15">
      <c r="G921" s="12"/>
    </row>
    <row r="922" spans="7:7" x14ac:dyDescent="0.15">
      <c r="G922" s="12"/>
    </row>
    <row r="923" spans="7:7" x14ac:dyDescent="0.15">
      <c r="G923" s="12"/>
    </row>
    <row r="924" spans="7:7" x14ac:dyDescent="0.15">
      <c r="G924" s="12"/>
    </row>
    <row r="925" spans="7:7" x14ac:dyDescent="0.15">
      <c r="G925" s="12"/>
    </row>
    <row r="926" spans="7:7" x14ac:dyDescent="0.15">
      <c r="G926" s="12"/>
    </row>
    <row r="927" spans="7:7" x14ac:dyDescent="0.15">
      <c r="G927" s="12"/>
    </row>
    <row r="928" spans="7:7" x14ac:dyDescent="0.15">
      <c r="G928" s="12"/>
    </row>
    <row r="929" spans="7:7" x14ac:dyDescent="0.15">
      <c r="G929" s="12"/>
    </row>
    <row r="930" spans="7:7" x14ac:dyDescent="0.15">
      <c r="G930" s="12"/>
    </row>
    <row r="931" spans="7:7" x14ac:dyDescent="0.15">
      <c r="G931" s="12"/>
    </row>
    <row r="932" spans="7:7" x14ac:dyDescent="0.15">
      <c r="G932" s="12"/>
    </row>
    <row r="933" spans="7:7" x14ac:dyDescent="0.15">
      <c r="G933" s="12"/>
    </row>
    <row r="934" spans="7:7" x14ac:dyDescent="0.15">
      <c r="G934" s="12"/>
    </row>
    <row r="935" spans="7:7" x14ac:dyDescent="0.15">
      <c r="G935" s="12"/>
    </row>
    <row r="936" spans="7:7" x14ac:dyDescent="0.15">
      <c r="G936" s="12"/>
    </row>
    <row r="937" spans="7:7" x14ac:dyDescent="0.15">
      <c r="G937" s="12"/>
    </row>
    <row r="938" spans="7:7" x14ac:dyDescent="0.15">
      <c r="G938" s="12"/>
    </row>
    <row r="939" spans="7:7" x14ac:dyDescent="0.15">
      <c r="G939" s="12"/>
    </row>
    <row r="940" spans="7:7" x14ac:dyDescent="0.15">
      <c r="G940" s="12"/>
    </row>
    <row r="941" spans="7:7" x14ac:dyDescent="0.15">
      <c r="G941" s="12"/>
    </row>
    <row r="942" spans="7:7" x14ac:dyDescent="0.15">
      <c r="G942" s="12"/>
    </row>
    <row r="943" spans="7:7" x14ac:dyDescent="0.15">
      <c r="G943" s="12"/>
    </row>
    <row r="944" spans="7:7" x14ac:dyDescent="0.15">
      <c r="G944" s="12"/>
    </row>
    <row r="945" spans="7:7" x14ac:dyDescent="0.15">
      <c r="G945" s="12"/>
    </row>
    <row r="946" spans="7:7" x14ac:dyDescent="0.15">
      <c r="G946" s="12"/>
    </row>
    <row r="947" spans="7:7" x14ac:dyDescent="0.15">
      <c r="G947" s="12"/>
    </row>
    <row r="948" spans="7:7" x14ac:dyDescent="0.15">
      <c r="G948" s="12"/>
    </row>
    <row r="949" spans="7:7" x14ac:dyDescent="0.15">
      <c r="G949" s="12"/>
    </row>
    <row r="950" spans="7:7" x14ac:dyDescent="0.15">
      <c r="G950" s="12"/>
    </row>
    <row r="951" spans="7:7" x14ac:dyDescent="0.15">
      <c r="G951" s="12"/>
    </row>
    <row r="952" spans="7:7" x14ac:dyDescent="0.15">
      <c r="G952" s="12"/>
    </row>
    <row r="953" spans="7:7" x14ac:dyDescent="0.15">
      <c r="G953" s="12"/>
    </row>
    <row r="954" spans="7:7" x14ac:dyDescent="0.15">
      <c r="G954" s="12"/>
    </row>
    <row r="955" spans="7:7" x14ac:dyDescent="0.15">
      <c r="G955" s="12"/>
    </row>
    <row r="956" spans="7:7" x14ac:dyDescent="0.15">
      <c r="G956" s="12"/>
    </row>
    <row r="957" spans="7:7" x14ac:dyDescent="0.15">
      <c r="G957" s="12"/>
    </row>
    <row r="958" spans="7:7" x14ac:dyDescent="0.15">
      <c r="G958" s="12"/>
    </row>
    <row r="959" spans="7:7" x14ac:dyDescent="0.15">
      <c r="G959" s="12"/>
    </row>
    <row r="960" spans="7:7" x14ac:dyDescent="0.15">
      <c r="G960" s="12"/>
    </row>
    <row r="961" spans="7:7" x14ac:dyDescent="0.15">
      <c r="G961" s="12"/>
    </row>
    <row r="962" spans="7:7" x14ac:dyDescent="0.15">
      <c r="G962" s="12"/>
    </row>
    <row r="963" spans="7:7" x14ac:dyDescent="0.15">
      <c r="G963" s="12"/>
    </row>
    <row r="964" spans="7:7" x14ac:dyDescent="0.15">
      <c r="G964" s="12"/>
    </row>
    <row r="965" spans="7:7" x14ac:dyDescent="0.15">
      <c r="G965" s="12"/>
    </row>
    <row r="966" spans="7:7" x14ac:dyDescent="0.15">
      <c r="G966" s="12"/>
    </row>
    <row r="967" spans="7:7" x14ac:dyDescent="0.15">
      <c r="G967" s="12"/>
    </row>
    <row r="968" spans="7:7" x14ac:dyDescent="0.15">
      <c r="G968" s="12"/>
    </row>
    <row r="969" spans="7:7" x14ac:dyDescent="0.15">
      <c r="G969" s="12"/>
    </row>
    <row r="970" spans="7:7" x14ac:dyDescent="0.15">
      <c r="G970" s="12"/>
    </row>
    <row r="971" spans="7:7" x14ac:dyDescent="0.15">
      <c r="G971" s="12"/>
    </row>
    <row r="972" spans="7:7" x14ac:dyDescent="0.15">
      <c r="G972" s="12"/>
    </row>
    <row r="973" spans="7:7" x14ac:dyDescent="0.15">
      <c r="G973" s="12"/>
    </row>
    <row r="974" spans="7:7" x14ac:dyDescent="0.15">
      <c r="G974" s="12"/>
    </row>
    <row r="975" spans="7:7" x14ac:dyDescent="0.15">
      <c r="G975" s="12"/>
    </row>
    <row r="976" spans="7:7" x14ac:dyDescent="0.15">
      <c r="G976" s="12"/>
    </row>
    <row r="977" spans="7:7" x14ac:dyDescent="0.15">
      <c r="G977" s="12"/>
    </row>
    <row r="978" spans="7:7" x14ac:dyDescent="0.15">
      <c r="G978" s="12"/>
    </row>
    <row r="979" spans="7:7" x14ac:dyDescent="0.15">
      <c r="G979" s="12"/>
    </row>
    <row r="980" spans="7:7" x14ac:dyDescent="0.15">
      <c r="G980" s="12"/>
    </row>
    <row r="981" spans="7:7" x14ac:dyDescent="0.15">
      <c r="G981" s="12"/>
    </row>
    <row r="982" spans="7:7" x14ac:dyDescent="0.15">
      <c r="G982" s="12"/>
    </row>
    <row r="983" spans="7:7" x14ac:dyDescent="0.15">
      <c r="G983" s="12"/>
    </row>
    <row r="984" spans="7:7" x14ac:dyDescent="0.15">
      <c r="G984" s="12"/>
    </row>
    <row r="985" spans="7:7" x14ac:dyDescent="0.15">
      <c r="G985" s="12"/>
    </row>
    <row r="986" spans="7:7" x14ac:dyDescent="0.15">
      <c r="G986" s="12"/>
    </row>
    <row r="987" spans="7:7" x14ac:dyDescent="0.15">
      <c r="G987" s="12"/>
    </row>
    <row r="988" spans="7:7" x14ac:dyDescent="0.15">
      <c r="G988" s="12"/>
    </row>
    <row r="989" spans="7:7" x14ac:dyDescent="0.15">
      <c r="G989" s="12"/>
    </row>
    <row r="990" spans="7:7" x14ac:dyDescent="0.15">
      <c r="G990" s="12"/>
    </row>
    <row r="991" spans="7:7" x14ac:dyDescent="0.15">
      <c r="G991" s="12"/>
    </row>
    <row r="992" spans="7:7" x14ac:dyDescent="0.15">
      <c r="G992" s="12"/>
    </row>
    <row r="993" spans="7:7" x14ac:dyDescent="0.15">
      <c r="G993" s="12"/>
    </row>
    <row r="994" spans="7:7" x14ac:dyDescent="0.15">
      <c r="G994" s="12"/>
    </row>
    <row r="995" spans="7:7" x14ac:dyDescent="0.15">
      <c r="G995" s="12"/>
    </row>
    <row r="996" spans="7:7" x14ac:dyDescent="0.15">
      <c r="G996" s="12"/>
    </row>
    <row r="997" spans="7:7" x14ac:dyDescent="0.15">
      <c r="G997" s="12"/>
    </row>
    <row r="998" spans="7:7" x14ac:dyDescent="0.15">
      <c r="G998" s="12"/>
    </row>
    <row r="999" spans="7:7" x14ac:dyDescent="0.15">
      <c r="G999" s="12"/>
    </row>
    <row r="1000" spans="7:7" x14ac:dyDescent="0.15">
      <c r="G1000" s="12"/>
    </row>
    <row r="1001" spans="7:7" x14ac:dyDescent="0.15">
      <c r="G1001" s="12"/>
    </row>
    <row r="1002" spans="7:7" x14ac:dyDescent="0.15">
      <c r="G1002" s="12"/>
    </row>
    <row r="1003" spans="7:7" x14ac:dyDescent="0.15">
      <c r="G1003" s="12"/>
    </row>
    <row r="1004" spans="7:7" x14ac:dyDescent="0.15">
      <c r="G1004" s="12"/>
    </row>
    <row r="1005" spans="7:7" x14ac:dyDescent="0.15">
      <c r="G1005" s="12"/>
    </row>
    <row r="1006" spans="7:7" x14ac:dyDescent="0.15">
      <c r="G1006" s="12"/>
    </row>
    <row r="1007" spans="7:7" x14ac:dyDescent="0.15">
      <c r="G1007" s="12"/>
    </row>
    <row r="1008" spans="7:7" x14ac:dyDescent="0.15">
      <c r="G1008" s="12"/>
    </row>
    <row r="1009" spans="7:7" x14ac:dyDescent="0.15">
      <c r="G1009" s="12"/>
    </row>
    <row r="1010" spans="7:7" x14ac:dyDescent="0.15">
      <c r="G1010" s="12"/>
    </row>
    <row r="1011" spans="7:7" x14ac:dyDescent="0.15">
      <c r="G1011" s="12"/>
    </row>
    <row r="1012" spans="7:7" x14ac:dyDescent="0.15">
      <c r="G1012" s="12"/>
    </row>
    <row r="1013" spans="7:7" x14ac:dyDescent="0.15">
      <c r="G1013" s="12"/>
    </row>
    <row r="1014" spans="7:7" x14ac:dyDescent="0.15">
      <c r="G1014" s="12"/>
    </row>
    <row r="1015" spans="7:7" x14ac:dyDescent="0.15">
      <c r="G1015" s="12"/>
    </row>
    <row r="1016" spans="7:7" x14ac:dyDescent="0.15">
      <c r="G1016" s="12"/>
    </row>
    <row r="1017" spans="7:7" x14ac:dyDescent="0.15">
      <c r="G1017" s="12"/>
    </row>
    <row r="1018" spans="7:7" x14ac:dyDescent="0.15">
      <c r="G1018" s="12"/>
    </row>
    <row r="1019" spans="7:7" x14ac:dyDescent="0.15">
      <c r="G1019" s="12"/>
    </row>
    <row r="1020" spans="7:7" x14ac:dyDescent="0.15">
      <c r="G1020" s="12"/>
    </row>
    <row r="1021" spans="7:7" x14ac:dyDescent="0.15">
      <c r="G1021" s="12"/>
    </row>
    <row r="1022" spans="7:7" x14ac:dyDescent="0.15">
      <c r="G1022" s="12"/>
    </row>
    <row r="1023" spans="7:7" x14ac:dyDescent="0.15">
      <c r="G1023" s="12"/>
    </row>
    <row r="1024" spans="7:7" x14ac:dyDescent="0.15">
      <c r="G1024" s="12"/>
    </row>
    <row r="1025" spans="7:7" x14ac:dyDescent="0.15">
      <c r="G1025" s="12"/>
    </row>
    <row r="1026" spans="7:7" x14ac:dyDescent="0.15">
      <c r="G1026" s="12"/>
    </row>
    <row r="1027" spans="7:7" x14ac:dyDescent="0.15">
      <c r="G1027" s="12"/>
    </row>
    <row r="1028" spans="7:7" x14ac:dyDescent="0.15">
      <c r="G1028" s="12"/>
    </row>
    <row r="1029" spans="7:7" x14ac:dyDescent="0.15">
      <c r="G1029" s="12"/>
    </row>
    <row r="1030" spans="7:7" x14ac:dyDescent="0.15">
      <c r="G1030" s="12"/>
    </row>
    <row r="1031" spans="7:7" x14ac:dyDescent="0.15">
      <c r="G1031" s="12"/>
    </row>
    <row r="1032" spans="7:7" x14ac:dyDescent="0.15">
      <c r="G1032" s="12"/>
    </row>
    <row r="1033" spans="7:7" x14ac:dyDescent="0.15">
      <c r="G1033" s="12"/>
    </row>
    <row r="1034" spans="7:7" x14ac:dyDescent="0.15">
      <c r="G1034" s="12"/>
    </row>
    <row r="1035" spans="7:7" x14ac:dyDescent="0.15">
      <c r="G1035" s="12"/>
    </row>
    <row r="1036" spans="7:7" x14ac:dyDescent="0.15">
      <c r="G1036" s="12"/>
    </row>
    <row r="1037" spans="7:7" x14ac:dyDescent="0.15">
      <c r="G1037" s="12"/>
    </row>
    <row r="1038" spans="7:7" x14ac:dyDescent="0.15">
      <c r="G1038" s="12"/>
    </row>
    <row r="1039" spans="7:7" x14ac:dyDescent="0.15">
      <c r="G1039" s="12"/>
    </row>
    <row r="1040" spans="7:7" x14ac:dyDescent="0.15">
      <c r="G1040" s="12"/>
    </row>
    <row r="1041" spans="7:7" x14ac:dyDescent="0.15">
      <c r="G1041" s="12"/>
    </row>
    <row r="1042" spans="7:7" x14ac:dyDescent="0.15">
      <c r="G1042" s="12"/>
    </row>
    <row r="1043" spans="7:7" x14ac:dyDescent="0.15">
      <c r="G1043" s="12"/>
    </row>
    <row r="1044" spans="7:7" x14ac:dyDescent="0.15">
      <c r="G1044" s="12"/>
    </row>
    <row r="1045" spans="7:7" x14ac:dyDescent="0.15">
      <c r="G1045" s="12"/>
    </row>
    <row r="1046" spans="7:7" x14ac:dyDescent="0.15">
      <c r="G1046" s="12"/>
    </row>
    <row r="1047" spans="7:7" x14ac:dyDescent="0.15">
      <c r="G1047" s="12"/>
    </row>
    <row r="1048" spans="7:7" x14ac:dyDescent="0.15">
      <c r="G1048" s="12"/>
    </row>
    <row r="1049" spans="7:7" x14ac:dyDescent="0.15">
      <c r="G1049" s="12"/>
    </row>
    <row r="1050" spans="7:7" x14ac:dyDescent="0.15">
      <c r="G1050" s="12"/>
    </row>
    <row r="1051" spans="7:7" x14ac:dyDescent="0.15">
      <c r="G1051" s="12"/>
    </row>
    <row r="1052" spans="7:7" x14ac:dyDescent="0.15">
      <c r="G1052" s="12"/>
    </row>
    <row r="1053" spans="7:7" x14ac:dyDescent="0.15">
      <c r="G1053" s="12"/>
    </row>
    <row r="1054" spans="7:7" x14ac:dyDescent="0.15">
      <c r="G1054" s="12"/>
    </row>
    <row r="1055" spans="7:7" x14ac:dyDescent="0.15">
      <c r="G1055" s="12"/>
    </row>
    <row r="1056" spans="7:7" x14ac:dyDescent="0.15">
      <c r="G1056" s="12"/>
    </row>
    <row r="1057" spans="7:7" x14ac:dyDescent="0.15">
      <c r="G1057" s="12"/>
    </row>
    <row r="1058" spans="7:7" x14ac:dyDescent="0.15">
      <c r="G1058" s="12"/>
    </row>
    <row r="1059" spans="7:7" x14ac:dyDescent="0.15">
      <c r="G1059" s="12"/>
    </row>
    <row r="1060" spans="7:7" x14ac:dyDescent="0.15">
      <c r="G1060" s="12"/>
    </row>
    <row r="1061" spans="7:7" x14ac:dyDescent="0.15">
      <c r="G1061" s="12"/>
    </row>
    <row r="1062" spans="7:7" x14ac:dyDescent="0.15">
      <c r="G1062" s="12"/>
    </row>
    <row r="1063" spans="7:7" x14ac:dyDescent="0.15">
      <c r="G1063" s="12"/>
    </row>
    <row r="1064" spans="7:7" x14ac:dyDescent="0.15">
      <c r="G1064" s="12"/>
    </row>
    <row r="1065" spans="7:7" x14ac:dyDescent="0.15">
      <c r="G1065" s="12"/>
    </row>
    <row r="1066" spans="7:7" x14ac:dyDescent="0.15">
      <c r="G1066" s="12"/>
    </row>
    <row r="1067" spans="7:7" x14ac:dyDescent="0.15">
      <c r="G1067" s="12"/>
    </row>
    <row r="1068" spans="7:7" x14ac:dyDescent="0.15">
      <c r="G1068" s="12"/>
    </row>
    <row r="1069" spans="7:7" x14ac:dyDescent="0.15">
      <c r="G1069" s="12"/>
    </row>
    <row r="1070" spans="7:7" x14ac:dyDescent="0.15">
      <c r="G1070" s="12"/>
    </row>
    <row r="1071" spans="7:7" x14ac:dyDescent="0.15">
      <c r="G1071" s="12"/>
    </row>
    <row r="1072" spans="7:7" x14ac:dyDescent="0.15">
      <c r="G1072" s="12"/>
    </row>
    <row r="1073" spans="7:7" x14ac:dyDescent="0.15">
      <c r="G1073" s="12"/>
    </row>
    <row r="1074" spans="7:7" x14ac:dyDescent="0.15">
      <c r="G1074" s="12"/>
    </row>
    <row r="1075" spans="7:7" x14ac:dyDescent="0.15">
      <c r="G1075" s="12"/>
    </row>
    <row r="1076" spans="7:7" x14ac:dyDescent="0.15">
      <c r="G1076" s="12"/>
    </row>
    <row r="1077" spans="7:7" x14ac:dyDescent="0.15">
      <c r="G1077" s="12"/>
    </row>
    <row r="1078" spans="7:7" x14ac:dyDescent="0.15">
      <c r="G1078" s="12"/>
    </row>
    <row r="1079" spans="7:7" x14ac:dyDescent="0.15">
      <c r="G1079" s="12"/>
    </row>
    <row r="1080" spans="7:7" x14ac:dyDescent="0.15">
      <c r="G1080" s="12"/>
    </row>
    <row r="1081" spans="7:7" x14ac:dyDescent="0.15">
      <c r="G1081" s="12"/>
    </row>
    <row r="1082" spans="7:7" x14ac:dyDescent="0.15">
      <c r="G1082" s="12"/>
    </row>
    <row r="1083" spans="7:7" x14ac:dyDescent="0.15">
      <c r="G1083" s="12"/>
    </row>
    <row r="1084" spans="7:7" x14ac:dyDescent="0.15">
      <c r="G1084" s="12"/>
    </row>
    <row r="1085" spans="7:7" x14ac:dyDescent="0.15">
      <c r="G1085" s="12"/>
    </row>
    <row r="1086" spans="7:7" x14ac:dyDescent="0.15">
      <c r="G1086" s="12"/>
    </row>
    <row r="1087" spans="7:7" x14ac:dyDescent="0.15">
      <c r="G1087" s="12"/>
    </row>
    <row r="1088" spans="7:7" x14ac:dyDescent="0.15">
      <c r="G1088" s="12"/>
    </row>
    <row r="1089" spans="7:7" x14ac:dyDescent="0.15">
      <c r="G1089" s="12"/>
    </row>
    <row r="1090" spans="7:7" x14ac:dyDescent="0.15">
      <c r="G1090" s="12"/>
    </row>
    <row r="1091" spans="7:7" x14ac:dyDescent="0.15">
      <c r="G1091" s="12"/>
    </row>
    <row r="1092" spans="7:7" x14ac:dyDescent="0.15">
      <c r="G1092" s="12"/>
    </row>
    <row r="1093" spans="7:7" x14ac:dyDescent="0.15">
      <c r="G1093" s="12"/>
    </row>
    <row r="1094" spans="7:7" x14ac:dyDescent="0.15">
      <c r="G1094" s="12"/>
    </row>
    <row r="1095" spans="7:7" x14ac:dyDescent="0.15">
      <c r="G1095" s="12"/>
    </row>
    <row r="1096" spans="7:7" x14ac:dyDescent="0.15">
      <c r="G1096" s="12"/>
    </row>
    <row r="1097" spans="7:7" x14ac:dyDescent="0.15">
      <c r="G1097" s="12"/>
    </row>
    <row r="1098" spans="7:7" x14ac:dyDescent="0.15">
      <c r="G1098" s="12"/>
    </row>
    <row r="1099" spans="7:7" x14ac:dyDescent="0.15">
      <c r="G1099" s="12"/>
    </row>
    <row r="1100" spans="7:7" x14ac:dyDescent="0.15">
      <c r="G1100" s="12"/>
    </row>
    <row r="1101" spans="7:7" x14ac:dyDescent="0.15">
      <c r="G1101" s="12"/>
    </row>
    <row r="1102" spans="7:7" x14ac:dyDescent="0.15">
      <c r="G1102" s="12"/>
    </row>
    <row r="1103" spans="7:7" x14ac:dyDescent="0.15">
      <c r="G1103" s="12"/>
    </row>
    <row r="1104" spans="7:7" x14ac:dyDescent="0.15">
      <c r="G1104" s="12"/>
    </row>
    <row r="1105" spans="7:7" x14ac:dyDescent="0.15">
      <c r="G1105" s="12"/>
    </row>
    <row r="1106" spans="7:7" x14ac:dyDescent="0.15">
      <c r="G1106" s="12"/>
    </row>
    <row r="1107" spans="7:7" x14ac:dyDescent="0.15">
      <c r="G1107" s="12"/>
    </row>
    <row r="1108" spans="7:7" x14ac:dyDescent="0.15">
      <c r="G1108" s="12"/>
    </row>
    <row r="1109" spans="7:7" x14ac:dyDescent="0.15">
      <c r="G1109" s="12"/>
    </row>
    <row r="1110" spans="7:7" x14ac:dyDescent="0.15">
      <c r="G1110" s="12"/>
    </row>
    <row r="1111" spans="7:7" x14ac:dyDescent="0.15">
      <c r="G1111" s="12"/>
    </row>
    <row r="1112" spans="7:7" x14ac:dyDescent="0.15">
      <c r="G1112" s="12"/>
    </row>
    <row r="1113" spans="7:7" x14ac:dyDescent="0.15">
      <c r="G1113" s="12"/>
    </row>
    <row r="1114" spans="7:7" x14ac:dyDescent="0.15">
      <c r="G1114" s="12"/>
    </row>
    <row r="1115" spans="7:7" x14ac:dyDescent="0.15">
      <c r="G1115" s="12"/>
    </row>
    <row r="1116" spans="7:7" x14ac:dyDescent="0.15">
      <c r="G1116" s="12"/>
    </row>
    <row r="1117" spans="7:7" x14ac:dyDescent="0.15">
      <c r="G1117" s="12"/>
    </row>
    <row r="1118" spans="7:7" x14ac:dyDescent="0.15">
      <c r="G1118" s="12"/>
    </row>
    <row r="1119" spans="7:7" x14ac:dyDescent="0.15">
      <c r="G1119" s="12"/>
    </row>
    <row r="1120" spans="7:7" x14ac:dyDescent="0.15">
      <c r="G1120" s="12"/>
    </row>
    <row r="1121" spans="7:7" x14ac:dyDescent="0.15">
      <c r="G1121" s="12"/>
    </row>
    <row r="1122" spans="7:7" x14ac:dyDescent="0.15">
      <c r="G1122" s="12"/>
    </row>
    <row r="1123" spans="7:7" x14ac:dyDescent="0.15">
      <c r="G1123" s="12"/>
    </row>
    <row r="1124" spans="7:7" x14ac:dyDescent="0.15">
      <c r="G1124" s="12"/>
    </row>
    <row r="1125" spans="7:7" x14ac:dyDescent="0.15">
      <c r="G1125" s="12"/>
    </row>
    <row r="1126" spans="7:7" x14ac:dyDescent="0.15">
      <c r="G1126" s="12"/>
    </row>
    <row r="1127" spans="7:7" x14ac:dyDescent="0.15">
      <c r="G1127" s="12"/>
    </row>
    <row r="1128" spans="7:7" x14ac:dyDescent="0.15">
      <c r="G1128" s="12"/>
    </row>
    <row r="1129" spans="7:7" x14ac:dyDescent="0.15">
      <c r="G1129" s="12"/>
    </row>
    <row r="1130" spans="7:7" x14ac:dyDescent="0.15">
      <c r="G1130" s="12"/>
    </row>
    <row r="1131" spans="7:7" x14ac:dyDescent="0.15">
      <c r="G1131" s="12"/>
    </row>
    <row r="1132" spans="7:7" x14ac:dyDescent="0.15">
      <c r="G1132" s="12"/>
    </row>
    <row r="1133" spans="7:7" x14ac:dyDescent="0.15">
      <c r="G1133" s="12"/>
    </row>
    <row r="1134" spans="7:7" x14ac:dyDescent="0.15">
      <c r="G1134" s="12"/>
    </row>
    <row r="1135" spans="7:7" x14ac:dyDescent="0.15">
      <c r="G1135" s="12"/>
    </row>
    <row r="1136" spans="7:7" x14ac:dyDescent="0.15">
      <c r="G1136" s="12"/>
    </row>
    <row r="1137" spans="7:7" x14ac:dyDescent="0.15">
      <c r="G1137" s="12"/>
    </row>
    <row r="1138" spans="7:7" x14ac:dyDescent="0.15">
      <c r="G1138" s="12"/>
    </row>
    <row r="1139" spans="7:7" x14ac:dyDescent="0.15">
      <c r="G1139" s="12"/>
    </row>
    <row r="1140" spans="7:7" x14ac:dyDescent="0.15">
      <c r="G1140" s="12"/>
    </row>
    <row r="1141" spans="7:7" x14ac:dyDescent="0.15">
      <c r="G1141" s="12"/>
    </row>
    <row r="1142" spans="7:7" x14ac:dyDescent="0.15">
      <c r="G1142" s="12"/>
    </row>
    <row r="1143" spans="7:7" x14ac:dyDescent="0.15">
      <c r="G1143" s="12"/>
    </row>
    <row r="1144" spans="7:7" x14ac:dyDescent="0.15">
      <c r="G1144" s="12"/>
    </row>
    <row r="1145" spans="7:7" x14ac:dyDescent="0.15">
      <c r="G1145" s="12"/>
    </row>
    <row r="1146" spans="7:7" x14ac:dyDescent="0.15">
      <c r="G1146" s="12"/>
    </row>
    <row r="1147" spans="7:7" x14ac:dyDescent="0.15">
      <c r="G1147" s="12"/>
    </row>
    <row r="1148" spans="7:7" x14ac:dyDescent="0.15">
      <c r="G1148" s="12"/>
    </row>
    <row r="1149" spans="7:7" x14ac:dyDescent="0.15">
      <c r="G1149" s="12"/>
    </row>
    <row r="1150" spans="7:7" x14ac:dyDescent="0.15">
      <c r="G1150" s="12"/>
    </row>
    <row r="1151" spans="7:7" x14ac:dyDescent="0.15">
      <c r="G1151" s="12"/>
    </row>
    <row r="1152" spans="7:7" x14ac:dyDescent="0.15">
      <c r="G1152" s="12"/>
    </row>
    <row r="1153" spans="7:7" x14ac:dyDescent="0.15">
      <c r="G1153" s="12"/>
    </row>
    <row r="1154" spans="7:7" x14ac:dyDescent="0.15">
      <c r="G1154" s="12"/>
    </row>
    <row r="1155" spans="7:7" x14ac:dyDescent="0.15">
      <c r="G1155" s="12"/>
    </row>
    <row r="1156" spans="7:7" x14ac:dyDescent="0.15">
      <c r="G1156" s="12"/>
    </row>
    <row r="1157" spans="7:7" x14ac:dyDescent="0.15">
      <c r="G1157" s="12"/>
    </row>
    <row r="1158" spans="7:7" x14ac:dyDescent="0.15">
      <c r="G1158" s="12"/>
    </row>
    <row r="1159" spans="7:7" x14ac:dyDescent="0.15">
      <c r="G1159" s="12"/>
    </row>
    <row r="1160" spans="7:7" x14ac:dyDescent="0.15">
      <c r="G1160" s="12"/>
    </row>
    <row r="1161" spans="7:7" x14ac:dyDescent="0.15">
      <c r="G1161" s="12"/>
    </row>
    <row r="1162" spans="7:7" x14ac:dyDescent="0.15">
      <c r="G1162" s="12"/>
    </row>
    <row r="1163" spans="7:7" x14ac:dyDescent="0.15">
      <c r="G1163" s="12"/>
    </row>
    <row r="1164" spans="7:7" x14ac:dyDescent="0.15">
      <c r="G1164" s="12"/>
    </row>
    <row r="1165" spans="7:7" x14ac:dyDescent="0.15">
      <c r="G1165" s="12"/>
    </row>
    <row r="1166" spans="7:7" x14ac:dyDescent="0.15">
      <c r="G1166" s="12"/>
    </row>
    <row r="1167" spans="7:7" x14ac:dyDescent="0.15">
      <c r="G1167" s="12"/>
    </row>
    <row r="1168" spans="7:7" x14ac:dyDescent="0.15">
      <c r="G1168" s="12"/>
    </row>
    <row r="1169" spans="7:7" x14ac:dyDescent="0.15">
      <c r="G1169" s="12"/>
    </row>
    <row r="1170" spans="7:7" x14ac:dyDescent="0.15">
      <c r="G1170" s="12"/>
    </row>
    <row r="1171" spans="7:7" x14ac:dyDescent="0.15">
      <c r="G1171" s="12"/>
    </row>
    <row r="1172" spans="7:7" x14ac:dyDescent="0.15">
      <c r="G1172" s="12"/>
    </row>
    <row r="1173" spans="7:7" x14ac:dyDescent="0.15">
      <c r="G1173" s="12"/>
    </row>
    <row r="1174" spans="7:7" x14ac:dyDescent="0.15">
      <c r="G1174" s="12"/>
    </row>
    <row r="1175" spans="7:7" x14ac:dyDescent="0.15">
      <c r="G1175" s="12"/>
    </row>
    <row r="1176" spans="7:7" x14ac:dyDescent="0.15">
      <c r="G1176" s="12"/>
    </row>
    <row r="1177" spans="7:7" x14ac:dyDescent="0.15">
      <c r="G1177" s="12"/>
    </row>
    <row r="1178" spans="7:7" x14ac:dyDescent="0.15">
      <c r="G1178" s="12"/>
    </row>
    <row r="1179" spans="7:7" x14ac:dyDescent="0.15">
      <c r="G1179" s="12"/>
    </row>
    <row r="1180" spans="7:7" x14ac:dyDescent="0.15">
      <c r="G1180" s="12"/>
    </row>
    <row r="1181" spans="7:7" x14ac:dyDescent="0.15">
      <c r="G1181" s="12"/>
    </row>
    <row r="1182" spans="7:7" x14ac:dyDescent="0.15">
      <c r="G1182" s="12"/>
    </row>
    <row r="1183" spans="7:7" x14ac:dyDescent="0.15">
      <c r="G1183" s="12"/>
    </row>
    <row r="1184" spans="7:7" x14ac:dyDescent="0.15">
      <c r="G1184" s="12"/>
    </row>
    <row r="1185" spans="7:7" x14ac:dyDescent="0.15">
      <c r="G1185" s="12"/>
    </row>
    <row r="1186" spans="7:7" x14ac:dyDescent="0.15">
      <c r="G1186" s="12"/>
    </row>
    <row r="1187" spans="7:7" x14ac:dyDescent="0.15">
      <c r="G1187" s="12"/>
    </row>
    <row r="1188" spans="7:7" x14ac:dyDescent="0.15">
      <c r="G1188" s="12"/>
    </row>
    <row r="1189" spans="7:7" x14ac:dyDescent="0.15">
      <c r="G1189" s="12"/>
    </row>
    <row r="1190" spans="7:7" x14ac:dyDescent="0.15">
      <c r="G1190" s="12"/>
    </row>
    <row r="1191" spans="7:7" x14ac:dyDescent="0.15">
      <c r="G1191" s="12"/>
    </row>
    <row r="1192" spans="7:7" x14ac:dyDescent="0.15">
      <c r="G1192" s="12"/>
    </row>
    <row r="1193" spans="7:7" x14ac:dyDescent="0.15">
      <c r="G1193" s="12"/>
    </row>
    <row r="1194" spans="7:7" x14ac:dyDescent="0.15">
      <c r="G1194" s="12"/>
    </row>
    <row r="1195" spans="7:7" x14ac:dyDescent="0.15">
      <c r="G1195" s="12"/>
    </row>
    <row r="1196" spans="7:7" x14ac:dyDescent="0.15">
      <c r="G1196" s="12"/>
    </row>
    <row r="1197" spans="7:7" x14ac:dyDescent="0.15">
      <c r="G1197" s="12"/>
    </row>
    <row r="1198" spans="7:7" x14ac:dyDescent="0.15">
      <c r="G1198" s="12"/>
    </row>
    <row r="1199" spans="7:7" x14ac:dyDescent="0.15">
      <c r="G1199" s="12"/>
    </row>
    <row r="1200" spans="7:7" x14ac:dyDescent="0.15">
      <c r="G1200" s="12"/>
    </row>
    <row r="1201" spans="7:7" x14ac:dyDescent="0.15">
      <c r="G1201" s="12"/>
    </row>
    <row r="1202" spans="7:7" x14ac:dyDescent="0.15">
      <c r="G1202" s="12"/>
    </row>
    <row r="1203" spans="7:7" x14ac:dyDescent="0.15">
      <c r="G1203" s="12"/>
    </row>
    <row r="1204" spans="7:7" x14ac:dyDescent="0.15">
      <c r="G1204" s="12"/>
    </row>
    <row r="1205" spans="7:7" x14ac:dyDescent="0.15">
      <c r="G1205" s="12"/>
    </row>
    <row r="1206" spans="7:7" x14ac:dyDescent="0.15">
      <c r="G1206" s="12"/>
    </row>
    <row r="1207" spans="7:7" x14ac:dyDescent="0.15">
      <c r="G1207" s="12"/>
    </row>
    <row r="1208" spans="7:7" x14ac:dyDescent="0.15">
      <c r="G1208" s="12"/>
    </row>
    <row r="1209" spans="7:7" x14ac:dyDescent="0.15">
      <c r="G1209" s="12"/>
    </row>
    <row r="1210" spans="7:7" x14ac:dyDescent="0.15">
      <c r="G1210" s="12"/>
    </row>
    <row r="1211" spans="7:7" x14ac:dyDescent="0.15">
      <c r="G1211" s="12"/>
    </row>
    <row r="1212" spans="7:7" x14ac:dyDescent="0.15">
      <c r="G1212" s="12"/>
    </row>
    <row r="1213" spans="7:7" x14ac:dyDescent="0.15">
      <c r="G1213" s="12"/>
    </row>
    <row r="1214" spans="7:7" x14ac:dyDescent="0.15">
      <c r="G1214" s="12"/>
    </row>
    <row r="1215" spans="7:7" x14ac:dyDescent="0.15">
      <c r="G1215" s="12"/>
    </row>
    <row r="1216" spans="7:7" x14ac:dyDescent="0.15">
      <c r="G1216" s="12"/>
    </row>
    <row r="1217" spans="7:7" x14ac:dyDescent="0.15">
      <c r="G1217" s="12"/>
    </row>
    <row r="1218" spans="7:7" x14ac:dyDescent="0.15">
      <c r="G1218" s="12"/>
    </row>
    <row r="1219" spans="7:7" x14ac:dyDescent="0.15">
      <c r="G1219" s="12"/>
    </row>
    <row r="1220" spans="7:7" x14ac:dyDescent="0.15">
      <c r="G1220" s="12"/>
    </row>
    <row r="1221" spans="7:7" x14ac:dyDescent="0.15">
      <c r="G1221" s="12"/>
    </row>
    <row r="1222" spans="7:7" x14ac:dyDescent="0.15">
      <c r="G1222" s="12"/>
    </row>
    <row r="1223" spans="7:7" x14ac:dyDescent="0.15">
      <c r="G1223" s="12"/>
    </row>
    <row r="1224" spans="7:7" x14ac:dyDescent="0.15">
      <c r="G1224" s="12"/>
    </row>
    <row r="1225" spans="7:7" x14ac:dyDescent="0.15">
      <c r="G1225" s="12"/>
    </row>
    <row r="1226" spans="7:7" x14ac:dyDescent="0.15">
      <c r="G1226" s="12"/>
    </row>
    <row r="1227" spans="7:7" x14ac:dyDescent="0.15">
      <c r="G1227" s="12"/>
    </row>
    <row r="1228" spans="7:7" x14ac:dyDescent="0.15">
      <c r="G1228" s="12"/>
    </row>
    <row r="1229" spans="7:7" x14ac:dyDescent="0.15">
      <c r="G1229" s="12"/>
    </row>
    <row r="1230" spans="7:7" x14ac:dyDescent="0.15">
      <c r="G1230" s="12"/>
    </row>
    <row r="1231" spans="7:7" x14ac:dyDescent="0.15">
      <c r="G1231" s="12"/>
    </row>
    <row r="1232" spans="7:7" x14ac:dyDescent="0.15">
      <c r="G1232" s="12"/>
    </row>
    <row r="1233" spans="7:7" x14ac:dyDescent="0.15">
      <c r="G1233" s="12"/>
    </row>
    <row r="1234" spans="7:7" x14ac:dyDescent="0.15">
      <c r="G1234" s="12"/>
    </row>
    <row r="1235" spans="7:7" x14ac:dyDescent="0.15">
      <c r="G1235" s="12"/>
    </row>
    <row r="1236" spans="7:7" x14ac:dyDescent="0.15">
      <c r="G1236" s="12"/>
    </row>
    <row r="1237" spans="7:7" x14ac:dyDescent="0.15">
      <c r="G1237" s="12"/>
    </row>
    <row r="1238" spans="7:7" x14ac:dyDescent="0.15">
      <c r="G1238" s="12"/>
    </row>
    <row r="1239" spans="7:7" x14ac:dyDescent="0.15">
      <c r="G1239" s="12"/>
    </row>
    <row r="1240" spans="7:7" x14ac:dyDescent="0.15">
      <c r="G1240" s="12"/>
    </row>
    <row r="1241" spans="7:7" x14ac:dyDescent="0.15">
      <c r="G1241" s="12"/>
    </row>
    <row r="1242" spans="7:7" x14ac:dyDescent="0.15">
      <c r="G1242" s="12"/>
    </row>
    <row r="1243" spans="7:7" x14ac:dyDescent="0.15">
      <c r="G1243" s="12"/>
    </row>
    <row r="1244" spans="7:7" x14ac:dyDescent="0.15">
      <c r="G1244" s="12"/>
    </row>
    <row r="1245" spans="7:7" x14ac:dyDescent="0.15">
      <c r="G1245" s="12"/>
    </row>
    <row r="1246" spans="7:7" x14ac:dyDescent="0.15">
      <c r="G1246" s="12"/>
    </row>
    <row r="1247" spans="7:7" x14ac:dyDescent="0.15">
      <c r="G1247" s="12"/>
    </row>
    <row r="1248" spans="7:7" x14ac:dyDescent="0.15">
      <c r="G1248" s="12"/>
    </row>
    <row r="1249" spans="7:7" x14ac:dyDescent="0.15">
      <c r="G1249" s="12"/>
    </row>
    <row r="1250" spans="7:7" x14ac:dyDescent="0.15">
      <c r="G1250" s="12"/>
    </row>
    <row r="1251" spans="7:7" x14ac:dyDescent="0.15">
      <c r="G1251" s="12"/>
    </row>
    <row r="1252" spans="7:7" x14ac:dyDescent="0.15">
      <c r="G1252" s="12"/>
    </row>
    <row r="1253" spans="7:7" x14ac:dyDescent="0.15">
      <c r="G1253" s="12"/>
    </row>
    <row r="1254" spans="7:7" x14ac:dyDescent="0.15">
      <c r="G1254" s="12"/>
    </row>
    <row r="1255" spans="7:7" x14ac:dyDescent="0.15">
      <c r="G1255" s="12"/>
    </row>
    <row r="1256" spans="7:7" x14ac:dyDescent="0.15">
      <c r="G1256" s="12"/>
    </row>
    <row r="1257" spans="7:7" x14ac:dyDescent="0.15">
      <c r="G1257" s="12"/>
    </row>
    <row r="1258" spans="7:7" x14ac:dyDescent="0.15">
      <c r="G1258" s="12"/>
    </row>
    <row r="1259" spans="7:7" x14ac:dyDescent="0.15">
      <c r="G1259" s="12"/>
    </row>
    <row r="1260" spans="7:7" x14ac:dyDescent="0.15">
      <c r="G1260" s="12"/>
    </row>
    <row r="1261" spans="7:7" x14ac:dyDescent="0.15">
      <c r="G1261" s="12"/>
    </row>
    <row r="1262" spans="7:7" x14ac:dyDescent="0.15">
      <c r="G1262" s="12"/>
    </row>
    <row r="1263" spans="7:7" x14ac:dyDescent="0.15">
      <c r="G1263" s="12"/>
    </row>
    <row r="1264" spans="7:7" x14ac:dyDescent="0.15">
      <c r="G1264" s="12"/>
    </row>
    <row r="1265" spans="7:7" x14ac:dyDescent="0.15">
      <c r="G1265" s="12"/>
    </row>
    <row r="1266" spans="7:7" x14ac:dyDescent="0.15">
      <c r="G1266" s="12"/>
    </row>
    <row r="1267" spans="7:7" x14ac:dyDescent="0.15">
      <c r="G1267" s="12"/>
    </row>
    <row r="1268" spans="7:7" x14ac:dyDescent="0.15">
      <c r="G1268" s="12"/>
    </row>
    <row r="1269" spans="7:7" x14ac:dyDescent="0.15">
      <c r="G1269" s="12"/>
    </row>
    <row r="1270" spans="7:7" x14ac:dyDescent="0.15">
      <c r="G1270" s="12"/>
    </row>
    <row r="1271" spans="7:7" x14ac:dyDescent="0.15">
      <c r="G1271" s="12"/>
    </row>
    <row r="1272" spans="7:7" x14ac:dyDescent="0.15">
      <c r="G1272" s="12"/>
    </row>
    <row r="1273" spans="7:7" x14ac:dyDescent="0.15">
      <c r="G1273" s="12"/>
    </row>
    <row r="1274" spans="7:7" x14ac:dyDescent="0.15">
      <c r="G1274" s="12"/>
    </row>
    <row r="1275" spans="7:7" x14ac:dyDescent="0.15">
      <c r="G1275" s="12"/>
    </row>
    <row r="1276" spans="7:7" x14ac:dyDescent="0.15">
      <c r="G1276" s="12"/>
    </row>
    <row r="1277" spans="7:7" x14ac:dyDescent="0.15">
      <c r="G1277" s="12"/>
    </row>
    <row r="1278" spans="7:7" x14ac:dyDescent="0.15">
      <c r="G1278" s="12"/>
    </row>
    <row r="1279" spans="7:7" x14ac:dyDescent="0.15">
      <c r="G1279" s="12"/>
    </row>
    <row r="1280" spans="7:7" x14ac:dyDescent="0.15">
      <c r="G1280" s="12"/>
    </row>
    <row r="1281" spans="7:7" x14ac:dyDescent="0.15">
      <c r="G1281" s="12"/>
    </row>
    <row r="1282" spans="7:7" x14ac:dyDescent="0.15">
      <c r="G1282" s="12"/>
    </row>
    <row r="1283" spans="7:7" x14ac:dyDescent="0.15">
      <c r="G1283" s="12"/>
    </row>
    <row r="1284" spans="7:7" x14ac:dyDescent="0.15">
      <c r="G1284" s="12"/>
    </row>
    <row r="1285" spans="7:7" x14ac:dyDescent="0.15">
      <c r="G1285" s="12"/>
    </row>
    <row r="1286" spans="7:7" x14ac:dyDescent="0.15">
      <c r="G1286" s="12"/>
    </row>
    <row r="1287" spans="7:7" x14ac:dyDescent="0.15">
      <c r="G1287" s="12"/>
    </row>
    <row r="1288" spans="7:7" x14ac:dyDescent="0.15">
      <c r="G1288" s="12"/>
    </row>
    <row r="1289" spans="7:7" x14ac:dyDescent="0.15">
      <c r="G1289" s="12"/>
    </row>
    <row r="1290" spans="7:7" x14ac:dyDescent="0.15">
      <c r="G1290" s="12"/>
    </row>
    <row r="1291" spans="7:7" x14ac:dyDescent="0.15">
      <c r="G1291" s="12"/>
    </row>
    <row r="1292" spans="7:7" x14ac:dyDescent="0.15">
      <c r="G1292" s="12"/>
    </row>
    <row r="1293" spans="7:7" x14ac:dyDescent="0.15">
      <c r="G1293" s="12"/>
    </row>
    <row r="1294" spans="7:7" x14ac:dyDescent="0.15">
      <c r="G1294" s="12"/>
    </row>
    <row r="1295" spans="7:7" x14ac:dyDescent="0.15">
      <c r="G1295" s="12"/>
    </row>
    <row r="1296" spans="7:7" x14ac:dyDescent="0.15">
      <c r="G1296" s="12"/>
    </row>
    <row r="1297" spans="7:7" x14ac:dyDescent="0.15">
      <c r="G1297" s="12"/>
    </row>
    <row r="1298" spans="7:7" x14ac:dyDescent="0.15">
      <c r="G1298" s="12"/>
    </row>
    <row r="1299" spans="7:7" x14ac:dyDescent="0.15">
      <c r="G1299" s="12"/>
    </row>
    <row r="1300" spans="7:7" x14ac:dyDescent="0.15">
      <c r="G1300" s="12"/>
    </row>
    <row r="1301" spans="7:7" x14ac:dyDescent="0.15">
      <c r="G1301" s="12"/>
    </row>
    <row r="1302" spans="7:7" x14ac:dyDescent="0.15">
      <c r="G1302" s="12"/>
    </row>
    <row r="1303" spans="7:7" x14ac:dyDescent="0.15">
      <c r="G1303" s="12"/>
    </row>
    <row r="1304" spans="7:7" x14ac:dyDescent="0.15">
      <c r="G1304" s="12"/>
    </row>
    <row r="1305" spans="7:7" x14ac:dyDescent="0.15">
      <c r="G1305" s="12"/>
    </row>
    <row r="1306" spans="7:7" x14ac:dyDescent="0.15">
      <c r="G1306" s="12"/>
    </row>
    <row r="1307" spans="7:7" x14ac:dyDescent="0.15">
      <c r="G1307" s="12"/>
    </row>
    <row r="1308" spans="7:7" x14ac:dyDescent="0.15">
      <c r="G1308" s="12"/>
    </row>
    <row r="1309" spans="7:7" x14ac:dyDescent="0.15">
      <c r="G1309" s="12"/>
    </row>
    <row r="1310" spans="7:7" x14ac:dyDescent="0.15">
      <c r="G1310" s="12"/>
    </row>
    <row r="1311" spans="7:7" x14ac:dyDescent="0.15">
      <c r="G1311" s="12"/>
    </row>
    <row r="1312" spans="7:7" x14ac:dyDescent="0.15">
      <c r="G1312" s="12"/>
    </row>
    <row r="1313" spans="7:7" x14ac:dyDescent="0.15">
      <c r="G1313" s="12"/>
    </row>
    <row r="1314" spans="7:7" x14ac:dyDescent="0.15">
      <c r="G1314" s="12"/>
    </row>
    <row r="1315" spans="7:7" x14ac:dyDescent="0.15">
      <c r="G1315" s="12"/>
    </row>
    <row r="1316" spans="7:7" x14ac:dyDescent="0.15">
      <c r="G1316" s="12"/>
    </row>
    <row r="1317" spans="7:7" x14ac:dyDescent="0.15">
      <c r="G1317" s="12"/>
    </row>
    <row r="1318" spans="7:7" x14ac:dyDescent="0.15">
      <c r="G1318" s="12"/>
    </row>
    <row r="1319" spans="7:7" x14ac:dyDescent="0.15">
      <c r="G1319" s="12"/>
    </row>
    <row r="1320" spans="7:7" x14ac:dyDescent="0.15">
      <c r="G1320" s="12"/>
    </row>
    <row r="1321" spans="7:7" x14ac:dyDescent="0.15">
      <c r="G1321" s="12"/>
    </row>
    <row r="1322" spans="7:7" x14ac:dyDescent="0.15">
      <c r="G1322" s="12"/>
    </row>
    <row r="1323" spans="7:7" x14ac:dyDescent="0.15">
      <c r="G1323" s="12"/>
    </row>
    <row r="1324" spans="7:7" x14ac:dyDescent="0.15">
      <c r="G1324" s="12"/>
    </row>
    <row r="1325" spans="7:7" x14ac:dyDescent="0.15">
      <c r="G1325" s="12"/>
    </row>
    <row r="1326" spans="7:7" x14ac:dyDescent="0.15">
      <c r="G1326" s="12"/>
    </row>
    <row r="1327" spans="7:7" x14ac:dyDescent="0.15">
      <c r="G1327" s="12"/>
    </row>
    <row r="1328" spans="7:7" x14ac:dyDescent="0.15">
      <c r="G1328" s="12"/>
    </row>
    <row r="1329" spans="7:7" x14ac:dyDescent="0.15">
      <c r="G1329" s="12"/>
    </row>
    <row r="1330" spans="7:7" x14ac:dyDescent="0.15">
      <c r="G1330" s="12"/>
    </row>
    <row r="1331" spans="7:7" x14ac:dyDescent="0.15">
      <c r="G1331" s="12"/>
    </row>
    <row r="1332" spans="7:7" x14ac:dyDescent="0.15">
      <c r="G1332" s="12"/>
    </row>
    <row r="1333" spans="7:7" x14ac:dyDescent="0.15">
      <c r="G1333" s="12"/>
    </row>
    <row r="1334" spans="7:7" x14ac:dyDescent="0.15">
      <c r="G1334" s="12"/>
    </row>
    <row r="1335" spans="7:7" x14ac:dyDescent="0.15">
      <c r="G1335" s="12"/>
    </row>
    <row r="1336" spans="7:7" x14ac:dyDescent="0.15">
      <c r="G1336" s="12"/>
    </row>
    <row r="1337" spans="7:7" x14ac:dyDescent="0.15">
      <c r="G1337" s="12"/>
    </row>
    <row r="1338" spans="7:7" x14ac:dyDescent="0.15">
      <c r="G1338" s="12"/>
    </row>
    <row r="1339" spans="7:7" x14ac:dyDescent="0.15">
      <c r="G1339" s="12"/>
    </row>
    <row r="1340" spans="7:7" x14ac:dyDescent="0.15">
      <c r="G1340" s="12"/>
    </row>
    <row r="1341" spans="7:7" x14ac:dyDescent="0.15">
      <c r="G1341" s="12"/>
    </row>
    <row r="1342" spans="7:7" x14ac:dyDescent="0.15">
      <c r="G1342" s="12"/>
    </row>
    <row r="1343" spans="7:7" x14ac:dyDescent="0.15">
      <c r="G1343" s="12"/>
    </row>
    <row r="1344" spans="7:7" x14ac:dyDescent="0.15">
      <c r="G1344" s="12"/>
    </row>
    <row r="1345" spans="7:7" x14ac:dyDescent="0.15">
      <c r="G1345" s="12"/>
    </row>
    <row r="1346" spans="7:7" x14ac:dyDescent="0.15">
      <c r="G1346" s="12"/>
    </row>
    <row r="1347" spans="7:7" x14ac:dyDescent="0.15">
      <c r="G1347" s="12"/>
    </row>
    <row r="1348" spans="7:7" x14ac:dyDescent="0.15">
      <c r="G1348" s="12"/>
    </row>
    <row r="1349" spans="7:7" x14ac:dyDescent="0.15">
      <c r="G1349" s="12"/>
    </row>
    <row r="1350" spans="7:7" x14ac:dyDescent="0.15">
      <c r="G1350" s="12"/>
    </row>
    <row r="1351" spans="7:7" x14ac:dyDescent="0.15">
      <c r="G1351" s="12"/>
    </row>
    <row r="1352" spans="7:7" x14ac:dyDescent="0.15">
      <c r="G1352" s="12"/>
    </row>
    <row r="1353" spans="7:7" x14ac:dyDescent="0.15">
      <c r="G1353" s="12"/>
    </row>
    <row r="1354" spans="7:7" x14ac:dyDescent="0.15">
      <c r="G1354" s="12"/>
    </row>
    <row r="1355" spans="7:7" x14ac:dyDescent="0.15">
      <c r="G1355" s="12"/>
    </row>
    <row r="1356" spans="7:7" x14ac:dyDescent="0.15">
      <c r="G1356" s="12"/>
    </row>
    <row r="1357" spans="7:7" x14ac:dyDescent="0.15">
      <c r="G1357" s="12"/>
    </row>
    <row r="1358" spans="7:7" x14ac:dyDescent="0.15">
      <c r="G1358" s="12"/>
    </row>
    <row r="1359" spans="7:7" x14ac:dyDescent="0.15">
      <c r="G1359" s="12"/>
    </row>
    <row r="1360" spans="7:7" x14ac:dyDescent="0.15">
      <c r="G1360" s="12"/>
    </row>
    <row r="1361" spans="7:7" x14ac:dyDescent="0.15">
      <c r="G1361" s="12"/>
    </row>
    <row r="1362" spans="7:7" x14ac:dyDescent="0.15">
      <c r="G1362" s="12"/>
    </row>
    <row r="1363" spans="7:7" x14ac:dyDescent="0.15">
      <c r="G1363" s="12"/>
    </row>
    <row r="1364" spans="7:7" x14ac:dyDescent="0.15">
      <c r="G1364" s="12"/>
    </row>
    <row r="1365" spans="7:7" x14ac:dyDescent="0.15">
      <c r="G1365" s="12"/>
    </row>
    <row r="1366" spans="7:7" x14ac:dyDescent="0.15">
      <c r="G1366" s="12"/>
    </row>
    <row r="1367" spans="7:7" x14ac:dyDescent="0.15">
      <c r="G1367" s="12"/>
    </row>
    <row r="1368" spans="7:7" x14ac:dyDescent="0.15">
      <c r="G1368" s="12"/>
    </row>
    <row r="1369" spans="7:7" x14ac:dyDescent="0.15">
      <c r="G1369" s="12"/>
    </row>
    <row r="1370" spans="7:7" x14ac:dyDescent="0.15">
      <c r="G1370" s="12"/>
    </row>
    <row r="1371" spans="7:7" x14ac:dyDescent="0.15">
      <c r="G1371" s="12"/>
    </row>
    <row r="1372" spans="7:7" x14ac:dyDescent="0.15">
      <c r="G1372" s="12"/>
    </row>
    <row r="1373" spans="7:7" x14ac:dyDescent="0.15">
      <c r="G1373" s="12"/>
    </row>
    <row r="1374" spans="7:7" x14ac:dyDescent="0.15">
      <c r="G1374" s="12"/>
    </row>
    <row r="1375" spans="7:7" x14ac:dyDescent="0.15">
      <c r="G1375" s="12"/>
    </row>
    <row r="1376" spans="7:7" x14ac:dyDescent="0.15">
      <c r="G1376" s="12"/>
    </row>
    <row r="1377" spans="7:7" x14ac:dyDescent="0.15">
      <c r="G1377" s="12"/>
    </row>
    <row r="1378" spans="7:7" x14ac:dyDescent="0.15">
      <c r="G1378" s="12"/>
    </row>
    <row r="1379" spans="7:7" x14ac:dyDescent="0.15">
      <c r="G1379" s="12"/>
    </row>
    <row r="1380" spans="7:7" x14ac:dyDescent="0.15">
      <c r="G1380" s="12"/>
    </row>
    <row r="1381" spans="7:7" x14ac:dyDescent="0.15">
      <c r="G1381" s="12"/>
    </row>
    <row r="1382" spans="7:7" x14ac:dyDescent="0.15">
      <c r="G1382" s="12"/>
    </row>
    <row r="1383" spans="7:7" x14ac:dyDescent="0.15">
      <c r="G1383" s="12"/>
    </row>
    <row r="1384" spans="7:7" x14ac:dyDescent="0.15">
      <c r="G1384" s="12"/>
    </row>
    <row r="1385" spans="7:7" x14ac:dyDescent="0.15">
      <c r="G1385" s="12"/>
    </row>
    <row r="1386" spans="7:7" x14ac:dyDescent="0.15">
      <c r="G1386" s="12"/>
    </row>
    <row r="1387" spans="7:7" x14ac:dyDescent="0.15">
      <c r="G1387" s="12"/>
    </row>
    <row r="1388" spans="7:7" x14ac:dyDescent="0.15">
      <c r="G1388" s="12"/>
    </row>
    <row r="1389" spans="7:7" x14ac:dyDescent="0.15">
      <c r="G1389" s="12"/>
    </row>
    <row r="1390" spans="7:7" x14ac:dyDescent="0.15">
      <c r="G1390" s="12"/>
    </row>
    <row r="1391" spans="7:7" x14ac:dyDescent="0.15">
      <c r="G1391" s="12"/>
    </row>
    <row r="1392" spans="7:7" x14ac:dyDescent="0.15">
      <c r="G1392" s="12"/>
    </row>
    <row r="1393" spans="7:7" x14ac:dyDescent="0.15">
      <c r="G1393" s="12"/>
    </row>
    <row r="1394" spans="7:7" x14ac:dyDescent="0.15">
      <c r="G1394" s="12"/>
    </row>
    <row r="1395" spans="7:7" x14ac:dyDescent="0.15">
      <c r="G1395" s="12"/>
    </row>
    <row r="1396" spans="7:7" x14ac:dyDescent="0.15">
      <c r="G1396" s="12"/>
    </row>
    <row r="1397" spans="7:7" x14ac:dyDescent="0.15">
      <c r="G1397" s="12"/>
    </row>
    <row r="1398" spans="7:7" x14ac:dyDescent="0.15">
      <c r="G1398" s="12"/>
    </row>
    <row r="1399" spans="7:7" x14ac:dyDescent="0.15">
      <c r="G1399" s="12"/>
    </row>
    <row r="1400" spans="7:7" x14ac:dyDescent="0.15">
      <c r="G1400" s="12"/>
    </row>
    <row r="1401" spans="7:7" x14ac:dyDescent="0.15">
      <c r="G1401" s="12"/>
    </row>
    <row r="1402" spans="7:7" x14ac:dyDescent="0.15">
      <c r="G1402" s="12"/>
    </row>
    <row r="1403" spans="7:7" x14ac:dyDescent="0.15">
      <c r="G1403" s="12"/>
    </row>
    <row r="1404" spans="7:7" x14ac:dyDescent="0.15">
      <c r="G1404" s="12"/>
    </row>
    <row r="1405" spans="7:7" x14ac:dyDescent="0.15">
      <c r="G1405" s="12"/>
    </row>
    <row r="1406" spans="7:7" x14ac:dyDescent="0.15">
      <c r="G1406" s="12"/>
    </row>
    <row r="1407" spans="7:7" x14ac:dyDescent="0.15">
      <c r="G1407" s="12"/>
    </row>
    <row r="1408" spans="7:7" x14ac:dyDescent="0.15">
      <c r="G1408" s="12"/>
    </row>
    <row r="1409" spans="7:7" x14ac:dyDescent="0.15">
      <c r="G1409" s="12"/>
    </row>
    <row r="1410" spans="7:7" x14ac:dyDescent="0.15">
      <c r="G1410" s="12"/>
    </row>
    <row r="1411" spans="7:7" x14ac:dyDescent="0.15">
      <c r="G1411" s="12"/>
    </row>
    <row r="1412" spans="7:7" x14ac:dyDescent="0.15">
      <c r="G1412" s="12"/>
    </row>
    <row r="1413" spans="7:7" x14ac:dyDescent="0.15">
      <c r="G1413" s="12"/>
    </row>
    <row r="1414" spans="7:7" x14ac:dyDescent="0.15">
      <c r="G1414" s="12"/>
    </row>
    <row r="1415" spans="7:7" x14ac:dyDescent="0.15">
      <c r="G1415" s="12"/>
    </row>
    <row r="1416" spans="7:7" x14ac:dyDescent="0.15">
      <c r="G1416" s="12"/>
    </row>
    <row r="1417" spans="7:7" x14ac:dyDescent="0.15">
      <c r="G1417" s="12"/>
    </row>
    <row r="1418" spans="7:7" x14ac:dyDescent="0.15">
      <c r="G1418" s="12"/>
    </row>
    <row r="1419" spans="7:7" x14ac:dyDescent="0.15">
      <c r="G1419" s="12"/>
    </row>
    <row r="1420" spans="7:7" x14ac:dyDescent="0.15">
      <c r="G1420" s="12"/>
    </row>
    <row r="1421" spans="7:7" x14ac:dyDescent="0.15">
      <c r="G1421" s="12"/>
    </row>
    <row r="1422" spans="7:7" x14ac:dyDescent="0.15">
      <c r="G1422" s="12"/>
    </row>
    <row r="1423" spans="7:7" x14ac:dyDescent="0.15">
      <c r="G1423" s="12"/>
    </row>
    <row r="1424" spans="7:7" x14ac:dyDescent="0.15">
      <c r="G1424" s="12"/>
    </row>
    <row r="1425" spans="7:7" x14ac:dyDescent="0.15">
      <c r="G1425" s="12"/>
    </row>
    <row r="1426" spans="7:7" x14ac:dyDescent="0.15">
      <c r="G1426" s="12"/>
    </row>
    <row r="1427" spans="7:7" x14ac:dyDescent="0.15">
      <c r="G1427" s="12"/>
    </row>
    <row r="1428" spans="7:7" x14ac:dyDescent="0.15">
      <c r="G1428" s="12"/>
    </row>
    <row r="1429" spans="7:7" x14ac:dyDescent="0.15">
      <c r="G1429" s="12"/>
    </row>
    <row r="1430" spans="7:7" x14ac:dyDescent="0.15">
      <c r="G1430" s="12"/>
    </row>
    <row r="1431" spans="7:7" x14ac:dyDescent="0.15">
      <c r="G1431" s="12"/>
    </row>
    <row r="1432" spans="7:7" x14ac:dyDescent="0.15">
      <c r="G1432" s="12"/>
    </row>
    <row r="1433" spans="7:7" x14ac:dyDescent="0.15">
      <c r="G1433" s="12"/>
    </row>
    <row r="1434" spans="7:7" x14ac:dyDescent="0.15">
      <c r="G1434" s="12"/>
    </row>
    <row r="1435" spans="7:7" x14ac:dyDescent="0.15">
      <c r="G1435" s="12"/>
    </row>
    <row r="1436" spans="7:7" x14ac:dyDescent="0.15">
      <c r="G1436" s="12"/>
    </row>
    <row r="1437" spans="7:7" x14ac:dyDescent="0.15">
      <c r="G1437" s="12"/>
    </row>
    <row r="1438" spans="7:7" x14ac:dyDescent="0.15">
      <c r="G1438" s="12"/>
    </row>
    <row r="1439" spans="7:7" x14ac:dyDescent="0.15">
      <c r="G1439" s="12"/>
    </row>
    <row r="1440" spans="7:7" x14ac:dyDescent="0.15">
      <c r="G1440" s="12"/>
    </row>
    <row r="1441" spans="7:7" x14ac:dyDescent="0.15">
      <c r="G1441" s="12"/>
    </row>
    <row r="1442" spans="7:7" x14ac:dyDescent="0.15">
      <c r="G1442" s="12"/>
    </row>
    <row r="1443" spans="7:7" x14ac:dyDescent="0.15">
      <c r="G1443" s="12"/>
    </row>
    <row r="1444" spans="7:7" x14ac:dyDescent="0.15">
      <c r="G1444" s="12"/>
    </row>
    <row r="1445" spans="7:7" x14ac:dyDescent="0.15">
      <c r="G1445" s="12"/>
    </row>
    <row r="1446" spans="7:7" x14ac:dyDescent="0.15">
      <c r="G1446" s="12"/>
    </row>
    <row r="1447" spans="7:7" x14ac:dyDescent="0.15">
      <c r="G1447" s="12"/>
    </row>
    <row r="1448" spans="7:7" x14ac:dyDescent="0.15">
      <c r="G1448" s="12"/>
    </row>
    <row r="1449" spans="7:7" x14ac:dyDescent="0.15">
      <c r="G1449" s="12"/>
    </row>
    <row r="1450" spans="7:7" x14ac:dyDescent="0.15">
      <c r="G1450" s="12"/>
    </row>
    <row r="1451" spans="7:7" x14ac:dyDescent="0.15">
      <c r="G1451" s="12"/>
    </row>
    <row r="1452" spans="7:7" x14ac:dyDescent="0.15">
      <c r="G1452" s="12"/>
    </row>
    <row r="1453" spans="7:7" x14ac:dyDescent="0.15">
      <c r="G1453" s="12"/>
    </row>
    <row r="1454" spans="7:7" x14ac:dyDescent="0.15">
      <c r="G1454" s="12"/>
    </row>
    <row r="1455" spans="7:7" x14ac:dyDescent="0.15">
      <c r="G1455" s="12"/>
    </row>
    <row r="1456" spans="7:7" x14ac:dyDescent="0.15">
      <c r="G1456" s="12"/>
    </row>
    <row r="1457" spans="7:7" x14ac:dyDescent="0.15">
      <c r="G1457" s="12"/>
    </row>
    <row r="1458" spans="7:7" x14ac:dyDescent="0.15">
      <c r="G1458" s="12"/>
    </row>
    <row r="1459" spans="7:7" x14ac:dyDescent="0.15">
      <c r="G1459" s="12"/>
    </row>
    <row r="1460" spans="7:7" x14ac:dyDescent="0.15">
      <c r="G1460" s="12"/>
    </row>
    <row r="1461" spans="7:7" x14ac:dyDescent="0.15">
      <c r="G1461" s="12"/>
    </row>
    <row r="1462" spans="7:7" x14ac:dyDescent="0.15">
      <c r="G1462" s="12"/>
    </row>
    <row r="1463" spans="7:7" x14ac:dyDescent="0.15">
      <c r="G1463" s="12"/>
    </row>
    <row r="1464" spans="7:7" x14ac:dyDescent="0.15">
      <c r="G1464" s="12"/>
    </row>
    <row r="1465" spans="7:7" x14ac:dyDescent="0.15">
      <c r="G1465" s="12"/>
    </row>
    <row r="1466" spans="7:7" x14ac:dyDescent="0.15">
      <c r="G1466" s="12"/>
    </row>
    <row r="1467" spans="7:7" x14ac:dyDescent="0.15">
      <c r="G1467" s="12"/>
    </row>
    <row r="1468" spans="7:7" x14ac:dyDescent="0.15">
      <c r="G1468" s="12"/>
    </row>
    <row r="1469" spans="7:7" x14ac:dyDescent="0.15">
      <c r="G1469" s="12"/>
    </row>
    <row r="1470" spans="7:7" x14ac:dyDescent="0.15">
      <c r="G1470" s="12"/>
    </row>
    <row r="1471" spans="7:7" x14ac:dyDescent="0.15">
      <c r="G1471" s="12"/>
    </row>
    <row r="1472" spans="7:7" x14ac:dyDescent="0.15">
      <c r="G1472" s="12"/>
    </row>
    <row r="1473" spans="7:7" x14ac:dyDescent="0.15">
      <c r="G1473" s="12"/>
    </row>
    <row r="1474" spans="7:7" x14ac:dyDescent="0.15">
      <c r="G1474" s="12"/>
    </row>
    <row r="1475" spans="7:7" x14ac:dyDescent="0.15">
      <c r="G1475" s="12"/>
    </row>
    <row r="1476" spans="7:7" x14ac:dyDescent="0.15">
      <c r="G1476" s="12"/>
    </row>
    <row r="1477" spans="7:7" x14ac:dyDescent="0.15">
      <c r="G1477" s="12"/>
    </row>
    <row r="1478" spans="7:7" x14ac:dyDescent="0.15">
      <c r="G1478" s="12"/>
    </row>
    <row r="1479" spans="7:7" x14ac:dyDescent="0.15">
      <c r="G1479" s="12"/>
    </row>
    <row r="1480" spans="7:7" x14ac:dyDescent="0.15">
      <c r="G1480" s="12"/>
    </row>
    <row r="1481" spans="7:7" x14ac:dyDescent="0.15">
      <c r="G1481" s="12"/>
    </row>
    <row r="1482" spans="7:7" x14ac:dyDescent="0.15">
      <c r="G1482" s="12"/>
    </row>
    <row r="1483" spans="7:7" x14ac:dyDescent="0.15">
      <c r="G1483" s="12"/>
    </row>
    <row r="1484" spans="7:7" x14ac:dyDescent="0.15">
      <c r="G1484" s="12"/>
    </row>
    <row r="1485" spans="7:7" x14ac:dyDescent="0.15">
      <c r="G1485" s="12"/>
    </row>
    <row r="1486" spans="7:7" x14ac:dyDescent="0.15">
      <c r="G1486" s="12"/>
    </row>
    <row r="1487" spans="7:7" x14ac:dyDescent="0.15">
      <c r="G1487" s="12"/>
    </row>
    <row r="1488" spans="7:7" x14ac:dyDescent="0.15">
      <c r="G1488" s="12"/>
    </row>
    <row r="1489" spans="7:7" x14ac:dyDescent="0.15">
      <c r="G1489" s="12"/>
    </row>
    <row r="1490" spans="7:7" x14ac:dyDescent="0.15">
      <c r="G1490" s="12"/>
    </row>
    <row r="1491" spans="7:7" x14ac:dyDescent="0.15">
      <c r="G1491" s="12"/>
    </row>
    <row r="1492" spans="7:7" x14ac:dyDescent="0.15">
      <c r="G1492" s="12"/>
    </row>
    <row r="1493" spans="7:7" x14ac:dyDescent="0.15">
      <c r="G1493" s="12"/>
    </row>
    <row r="1494" spans="7:7" x14ac:dyDescent="0.15">
      <c r="G1494" s="12"/>
    </row>
    <row r="1495" spans="7:7" x14ac:dyDescent="0.15">
      <c r="G1495" s="12"/>
    </row>
    <row r="1496" spans="7:7" x14ac:dyDescent="0.15">
      <c r="G1496" s="12"/>
    </row>
    <row r="1497" spans="7:7" x14ac:dyDescent="0.15">
      <c r="G1497" s="12"/>
    </row>
    <row r="1498" spans="7:7" x14ac:dyDescent="0.15">
      <c r="G1498" s="12"/>
    </row>
    <row r="1499" spans="7:7" x14ac:dyDescent="0.15">
      <c r="G1499" s="12"/>
    </row>
    <row r="1500" spans="7:7" x14ac:dyDescent="0.15">
      <c r="G1500" s="12"/>
    </row>
    <row r="1501" spans="7:7" x14ac:dyDescent="0.15">
      <c r="G1501" s="12"/>
    </row>
    <row r="1502" spans="7:7" x14ac:dyDescent="0.15">
      <c r="G1502" s="12"/>
    </row>
    <row r="1503" spans="7:7" x14ac:dyDescent="0.15">
      <c r="G1503" s="12"/>
    </row>
    <row r="1504" spans="7:7" x14ac:dyDescent="0.15">
      <c r="G1504" s="12"/>
    </row>
    <row r="1505" spans="7:7" x14ac:dyDescent="0.15">
      <c r="G1505" s="12"/>
    </row>
    <row r="1506" spans="7:7" x14ac:dyDescent="0.15">
      <c r="G1506" s="12"/>
    </row>
    <row r="1507" spans="7:7" x14ac:dyDescent="0.15">
      <c r="G1507" s="12"/>
    </row>
    <row r="1508" spans="7:7" x14ac:dyDescent="0.15">
      <c r="G1508" s="12"/>
    </row>
    <row r="1509" spans="7:7" x14ac:dyDescent="0.15">
      <c r="G1509" s="12"/>
    </row>
    <row r="1510" spans="7:7" x14ac:dyDescent="0.15">
      <c r="G1510" s="12"/>
    </row>
    <row r="1511" spans="7:7" x14ac:dyDescent="0.15">
      <c r="G1511" s="12"/>
    </row>
    <row r="1512" spans="7:7" x14ac:dyDescent="0.15">
      <c r="G1512" s="12"/>
    </row>
    <row r="1513" spans="7:7" x14ac:dyDescent="0.15">
      <c r="G1513" s="12"/>
    </row>
    <row r="1514" spans="7:7" x14ac:dyDescent="0.15">
      <c r="G1514" s="12"/>
    </row>
    <row r="1515" spans="7:7" x14ac:dyDescent="0.15">
      <c r="G1515" s="12"/>
    </row>
    <row r="1516" spans="7:7" x14ac:dyDescent="0.15">
      <c r="G1516" s="12"/>
    </row>
    <row r="1517" spans="7:7" x14ac:dyDescent="0.15">
      <c r="G1517" s="12"/>
    </row>
    <row r="1518" spans="7:7" x14ac:dyDescent="0.15">
      <c r="G1518" s="12"/>
    </row>
    <row r="1519" spans="7:7" x14ac:dyDescent="0.15">
      <c r="G1519" s="12"/>
    </row>
    <row r="1520" spans="7:7" x14ac:dyDescent="0.15">
      <c r="G1520" s="12"/>
    </row>
    <row r="1521" spans="7:7" x14ac:dyDescent="0.15">
      <c r="G1521" s="12"/>
    </row>
    <row r="1522" spans="7:7" x14ac:dyDescent="0.15">
      <c r="G1522" s="12"/>
    </row>
    <row r="1523" spans="7:7" x14ac:dyDescent="0.15">
      <c r="G1523" s="12"/>
    </row>
    <row r="1524" spans="7:7" x14ac:dyDescent="0.15">
      <c r="G1524" s="12"/>
    </row>
    <row r="1525" spans="7:7" x14ac:dyDescent="0.15">
      <c r="G1525" s="12"/>
    </row>
    <row r="1526" spans="7:7" x14ac:dyDescent="0.15">
      <c r="G1526" s="12"/>
    </row>
    <row r="1527" spans="7:7" x14ac:dyDescent="0.15">
      <c r="G1527" s="12"/>
    </row>
    <row r="1528" spans="7:7" x14ac:dyDescent="0.15">
      <c r="G1528" s="12"/>
    </row>
    <row r="1529" spans="7:7" x14ac:dyDescent="0.15">
      <c r="G1529" s="12"/>
    </row>
    <row r="1530" spans="7:7" x14ac:dyDescent="0.15">
      <c r="G1530" s="12"/>
    </row>
    <row r="1531" spans="7:7" x14ac:dyDescent="0.15">
      <c r="G1531" s="12"/>
    </row>
    <row r="1532" spans="7:7" x14ac:dyDescent="0.15">
      <c r="G1532" s="12"/>
    </row>
    <row r="1533" spans="7:7" x14ac:dyDescent="0.15">
      <c r="G1533" s="12"/>
    </row>
    <row r="1534" spans="7:7" x14ac:dyDescent="0.15">
      <c r="G1534" s="12"/>
    </row>
    <row r="1535" spans="7:7" x14ac:dyDescent="0.15">
      <c r="G1535" s="12"/>
    </row>
    <row r="1536" spans="7:7" x14ac:dyDescent="0.15">
      <c r="G1536" s="12"/>
    </row>
    <row r="1537" spans="7:7" x14ac:dyDescent="0.15">
      <c r="G1537" s="12"/>
    </row>
    <row r="1538" spans="7:7" x14ac:dyDescent="0.15">
      <c r="G1538" s="12"/>
    </row>
    <row r="1539" spans="7:7" x14ac:dyDescent="0.15">
      <c r="G1539" s="12"/>
    </row>
    <row r="1540" spans="7:7" x14ac:dyDescent="0.15">
      <c r="G1540" s="12"/>
    </row>
    <row r="1541" spans="7:7" x14ac:dyDescent="0.15">
      <c r="G1541" s="12"/>
    </row>
    <row r="1542" spans="7:7" x14ac:dyDescent="0.15">
      <c r="G1542" s="12"/>
    </row>
    <row r="1543" spans="7:7" x14ac:dyDescent="0.15">
      <c r="G1543" s="12"/>
    </row>
    <row r="1544" spans="7:7" x14ac:dyDescent="0.15">
      <c r="G1544" s="12"/>
    </row>
    <row r="1545" spans="7:7" x14ac:dyDescent="0.15">
      <c r="G1545" s="12"/>
    </row>
    <row r="1546" spans="7:7" x14ac:dyDescent="0.15">
      <c r="G1546" s="12"/>
    </row>
    <row r="1547" spans="7:7" x14ac:dyDescent="0.15">
      <c r="G1547" s="12"/>
    </row>
    <row r="1548" spans="7:7" x14ac:dyDescent="0.15">
      <c r="G1548" s="12"/>
    </row>
    <row r="1549" spans="7:7" x14ac:dyDescent="0.15">
      <c r="G1549" s="12"/>
    </row>
    <row r="1550" spans="7:7" x14ac:dyDescent="0.15">
      <c r="G1550" s="12"/>
    </row>
    <row r="1551" spans="7:7" x14ac:dyDescent="0.15">
      <c r="G1551" s="12"/>
    </row>
    <row r="1552" spans="7:7" x14ac:dyDescent="0.15">
      <c r="G1552" s="12"/>
    </row>
    <row r="1553" spans="7:7" x14ac:dyDescent="0.15">
      <c r="G1553" s="12"/>
    </row>
    <row r="1554" spans="7:7" x14ac:dyDescent="0.15">
      <c r="G1554" s="12"/>
    </row>
    <row r="1555" spans="7:7" x14ac:dyDescent="0.15">
      <c r="G1555" s="12"/>
    </row>
    <row r="1556" spans="7:7" x14ac:dyDescent="0.15">
      <c r="G1556" s="12"/>
    </row>
    <row r="1557" spans="7:7" x14ac:dyDescent="0.15">
      <c r="G1557" s="12"/>
    </row>
    <row r="1558" spans="7:7" x14ac:dyDescent="0.15">
      <c r="G1558" s="12"/>
    </row>
    <row r="1559" spans="7:7" x14ac:dyDescent="0.15">
      <c r="G1559" s="12"/>
    </row>
    <row r="1560" spans="7:7" x14ac:dyDescent="0.15">
      <c r="G1560" s="12"/>
    </row>
    <row r="1561" spans="7:7" x14ac:dyDescent="0.15">
      <c r="G1561" s="12"/>
    </row>
    <row r="1562" spans="7:7" x14ac:dyDescent="0.15">
      <c r="G1562" s="12"/>
    </row>
    <row r="1563" spans="7:7" x14ac:dyDescent="0.15">
      <c r="G1563" s="12"/>
    </row>
    <row r="1564" spans="7:7" x14ac:dyDescent="0.15">
      <c r="G1564" s="12"/>
    </row>
    <row r="1565" spans="7:7" x14ac:dyDescent="0.15">
      <c r="G1565" s="12"/>
    </row>
    <row r="1566" spans="7:7" x14ac:dyDescent="0.15">
      <c r="G1566" s="12"/>
    </row>
    <row r="1567" spans="7:7" x14ac:dyDescent="0.15">
      <c r="G1567" s="12"/>
    </row>
    <row r="1568" spans="7:7" x14ac:dyDescent="0.15">
      <c r="G1568" s="12"/>
    </row>
    <row r="1569" spans="7:7" x14ac:dyDescent="0.15">
      <c r="G1569" s="12"/>
    </row>
    <row r="1570" spans="7:7" x14ac:dyDescent="0.15">
      <c r="G1570" s="12"/>
    </row>
    <row r="1571" spans="7:7" x14ac:dyDescent="0.15">
      <c r="G1571" s="12"/>
    </row>
    <row r="1572" spans="7:7" x14ac:dyDescent="0.15">
      <c r="G1572" s="12"/>
    </row>
    <row r="1573" spans="7:7" x14ac:dyDescent="0.15">
      <c r="G1573" s="12"/>
    </row>
    <row r="1574" spans="7:7" x14ac:dyDescent="0.15">
      <c r="G1574" s="12"/>
    </row>
    <row r="1575" spans="7:7" x14ac:dyDescent="0.15">
      <c r="G1575" s="12"/>
    </row>
    <row r="1576" spans="7:7" x14ac:dyDescent="0.15">
      <c r="G1576" s="12"/>
    </row>
    <row r="1577" spans="7:7" x14ac:dyDescent="0.15">
      <c r="G1577" s="12"/>
    </row>
    <row r="1578" spans="7:7" x14ac:dyDescent="0.15">
      <c r="G1578" s="12"/>
    </row>
    <row r="1579" spans="7:7" x14ac:dyDescent="0.15">
      <c r="G1579" s="12"/>
    </row>
    <row r="1580" spans="7:7" x14ac:dyDescent="0.15">
      <c r="G1580" s="12"/>
    </row>
    <row r="1581" spans="7:7" x14ac:dyDescent="0.15">
      <c r="G1581" s="12"/>
    </row>
    <row r="1582" spans="7:7" x14ac:dyDescent="0.15">
      <c r="G1582" s="12"/>
    </row>
    <row r="1583" spans="7:7" x14ac:dyDescent="0.15">
      <c r="G1583" s="12"/>
    </row>
    <row r="1584" spans="7:7" x14ac:dyDescent="0.15">
      <c r="G1584" s="12"/>
    </row>
    <row r="1585" spans="7:7" x14ac:dyDescent="0.15">
      <c r="G1585" s="12"/>
    </row>
    <row r="1586" spans="7:7" x14ac:dyDescent="0.15">
      <c r="G1586" s="12"/>
    </row>
    <row r="1587" spans="7:7" x14ac:dyDescent="0.15">
      <c r="G1587" s="12"/>
    </row>
    <row r="1588" spans="7:7" x14ac:dyDescent="0.15">
      <c r="G1588" s="12"/>
    </row>
    <row r="1589" spans="7:7" x14ac:dyDescent="0.15">
      <c r="G1589" s="12"/>
    </row>
    <row r="1590" spans="7:7" x14ac:dyDescent="0.15">
      <c r="G1590" s="12"/>
    </row>
    <row r="1591" spans="7:7" x14ac:dyDescent="0.15">
      <c r="G1591" s="12"/>
    </row>
    <row r="1592" spans="7:7" x14ac:dyDescent="0.15">
      <c r="G1592" s="12"/>
    </row>
    <row r="1593" spans="7:7" x14ac:dyDescent="0.15">
      <c r="G1593" s="12"/>
    </row>
    <row r="1594" spans="7:7" x14ac:dyDescent="0.15">
      <c r="G1594" s="12"/>
    </row>
    <row r="1595" spans="7:7" x14ac:dyDescent="0.15">
      <c r="G1595" s="12"/>
    </row>
    <row r="1596" spans="7:7" x14ac:dyDescent="0.15">
      <c r="G1596" s="12"/>
    </row>
    <row r="1597" spans="7:7" x14ac:dyDescent="0.15">
      <c r="G1597" s="12"/>
    </row>
    <row r="1598" spans="7:7" x14ac:dyDescent="0.15">
      <c r="G1598" s="12"/>
    </row>
    <row r="1599" spans="7:7" x14ac:dyDescent="0.15">
      <c r="G1599" s="12"/>
    </row>
    <row r="1600" spans="7:7" x14ac:dyDescent="0.15">
      <c r="G1600" s="12"/>
    </row>
    <row r="1601" spans="7:7" x14ac:dyDescent="0.15">
      <c r="G1601" s="12"/>
    </row>
    <row r="1602" spans="7:7" x14ac:dyDescent="0.15">
      <c r="G1602" s="12"/>
    </row>
    <row r="1603" spans="7:7" x14ac:dyDescent="0.15">
      <c r="G1603" s="12"/>
    </row>
    <row r="1604" spans="7:7" x14ac:dyDescent="0.15">
      <c r="G1604" s="12"/>
    </row>
    <row r="1605" spans="7:7" x14ac:dyDescent="0.15">
      <c r="G1605" s="12"/>
    </row>
    <row r="1606" spans="7:7" x14ac:dyDescent="0.15">
      <c r="G1606" s="12"/>
    </row>
    <row r="1607" spans="7:7" x14ac:dyDescent="0.15">
      <c r="G1607" s="12"/>
    </row>
    <row r="1608" spans="7:7" x14ac:dyDescent="0.15">
      <c r="G1608" s="12"/>
    </row>
    <row r="1609" spans="7:7" x14ac:dyDescent="0.15">
      <c r="G1609" s="12"/>
    </row>
    <row r="1610" spans="7:7" x14ac:dyDescent="0.15">
      <c r="G1610" s="12"/>
    </row>
    <row r="1611" spans="7:7" x14ac:dyDescent="0.15">
      <c r="G1611" s="12"/>
    </row>
    <row r="1612" spans="7:7" x14ac:dyDescent="0.15">
      <c r="G1612" s="12"/>
    </row>
    <row r="1613" spans="7:7" x14ac:dyDescent="0.15">
      <c r="G1613" s="12"/>
    </row>
    <row r="1614" spans="7:7" x14ac:dyDescent="0.15">
      <c r="G1614" s="12"/>
    </row>
    <row r="1615" spans="7:7" x14ac:dyDescent="0.15">
      <c r="G1615" s="12"/>
    </row>
    <row r="1616" spans="7:7" x14ac:dyDescent="0.15">
      <c r="G1616" s="12"/>
    </row>
    <row r="1617" spans="7:7" x14ac:dyDescent="0.15">
      <c r="G1617" s="12"/>
    </row>
    <row r="1618" spans="7:7" x14ac:dyDescent="0.15">
      <c r="G1618" s="12"/>
    </row>
    <row r="1619" spans="7:7" x14ac:dyDescent="0.15">
      <c r="G1619" s="12"/>
    </row>
    <row r="1620" spans="7:7" x14ac:dyDescent="0.15">
      <c r="G1620" s="12"/>
    </row>
    <row r="1621" spans="7:7" x14ac:dyDescent="0.15">
      <c r="G1621" s="12"/>
    </row>
    <row r="1622" spans="7:7" x14ac:dyDescent="0.15">
      <c r="G1622" s="12"/>
    </row>
    <row r="1623" spans="7:7" x14ac:dyDescent="0.15">
      <c r="G1623" s="12"/>
    </row>
    <row r="1624" spans="7:7" x14ac:dyDescent="0.15">
      <c r="G1624" s="12"/>
    </row>
    <row r="1625" spans="7:7" x14ac:dyDescent="0.15">
      <c r="G1625" s="12"/>
    </row>
    <row r="1626" spans="7:7" x14ac:dyDescent="0.15">
      <c r="G1626" s="12"/>
    </row>
    <row r="1627" spans="7:7" x14ac:dyDescent="0.15">
      <c r="G1627" s="12"/>
    </row>
    <row r="1628" spans="7:7" x14ac:dyDescent="0.15">
      <c r="G1628" s="12"/>
    </row>
    <row r="1629" spans="7:7" x14ac:dyDescent="0.15">
      <c r="G1629" s="12"/>
    </row>
    <row r="1630" spans="7:7" x14ac:dyDescent="0.15">
      <c r="G1630" s="12"/>
    </row>
    <row r="1631" spans="7:7" x14ac:dyDescent="0.15">
      <c r="G1631" s="12"/>
    </row>
    <row r="1632" spans="7:7" x14ac:dyDescent="0.15">
      <c r="G1632" s="12"/>
    </row>
    <row r="1633" spans="7:7" x14ac:dyDescent="0.15">
      <c r="G1633" s="12"/>
    </row>
    <row r="1634" spans="7:7" x14ac:dyDescent="0.15">
      <c r="G1634" s="12"/>
    </row>
    <row r="1635" spans="7:7" x14ac:dyDescent="0.15">
      <c r="G1635" s="12"/>
    </row>
    <row r="1636" spans="7:7" x14ac:dyDescent="0.15">
      <c r="G1636" s="12"/>
    </row>
    <row r="1637" spans="7:7" x14ac:dyDescent="0.15">
      <c r="G1637" s="12"/>
    </row>
    <row r="1638" spans="7:7" x14ac:dyDescent="0.15">
      <c r="G1638" s="12"/>
    </row>
    <row r="1639" spans="7:7" x14ac:dyDescent="0.15">
      <c r="G1639" s="12"/>
    </row>
    <row r="1640" spans="7:7" x14ac:dyDescent="0.15">
      <c r="G1640" s="12"/>
    </row>
    <row r="1641" spans="7:7" x14ac:dyDescent="0.15">
      <c r="G1641" s="12"/>
    </row>
    <row r="1642" spans="7:7" x14ac:dyDescent="0.15">
      <c r="G1642" s="12"/>
    </row>
    <row r="1643" spans="7:7" x14ac:dyDescent="0.15">
      <c r="G1643" s="12"/>
    </row>
    <row r="1644" spans="7:7" x14ac:dyDescent="0.15">
      <c r="G1644" s="12"/>
    </row>
    <row r="1645" spans="7:7" x14ac:dyDescent="0.15">
      <c r="G1645" s="12"/>
    </row>
    <row r="1646" spans="7:7" x14ac:dyDescent="0.15">
      <c r="G1646" s="12"/>
    </row>
    <row r="1647" spans="7:7" x14ac:dyDescent="0.15">
      <c r="G1647" s="12"/>
    </row>
    <row r="1648" spans="7:7" x14ac:dyDescent="0.15">
      <c r="G1648" s="12"/>
    </row>
    <row r="1649" spans="7:7" x14ac:dyDescent="0.15">
      <c r="G1649" s="12"/>
    </row>
    <row r="1650" spans="7:7" x14ac:dyDescent="0.15">
      <c r="G1650" s="12"/>
    </row>
    <row r="1651" spans="7:7" x14ac:dyDescent="0.15">
      <c r="G1651" s="12"/>
    </row>
    <row r="1652" spans="7:7" x14ac:dyDescent="0.15">
      <c r="G1652" s="12"/>
    </row>
    <row r="1653" spans="7:7" x14ac:dyDescent="0.15">
      <c r="G1653" s="12"/>
    </row>
    <row r="1654" spans="7:7" x14ac:dyDescent="0.15">
      <c r="G1654" s="12"/>
    </row>
    <row r="1655" spans="7:7" x14ac:dyDescent="0.15">
      <c r="G1655" s="12"/>
    </row>
    <row r="1656" spans="7:7" x14ac:dyDescent="0.15">
      <c r="G1656" s="12"/>
    </row>
    <row r="1657" spans="7:7" x14ac:dyDescent="0.15">
      <c r="G1657" s="12"/>
    </row>
    <row r="1658" spans="7:7" x14ac:dyDescent="0.15">
      <c r="G1658" s="12"/>
    </row>
    <row r="1659" spans="7:7" x14ac:dyDescent="0.15">
      <c r="G1659" s="12"/>
    </row>
    <row r="1660" spans="7:7" x14ac:dyDescent="0.15">
      <c r="G1660" s="12"/>
    </row>
    <row r="1661" spans="7:7" x14ac:dyDescent="0.15">
      <c r="G1661" s="12"/>
    </row>
    <row r="1662" spans="7:7" x14ac:dyDescent="0.15">
      <c r="G1662" s="12"/>
    </row>
    <row r="1663" spans="7:7" x14ac:dyDescent="0.15">
      <c r="G1663" s="12"/>
    </row>
    <row r="1664" spans="7:7" x14ac:dyDescent="0.15">
      <c r="G1664" s="12"/>
    </row>
    <row r="1665" spans="7:7" x14ac:dyDescent="0.15">
      <c r="G1665" s="12"/>
    </row>
    <row r="1666" spans="7:7" x14ac:dyDescent="0.15">
      <c r="G1666" s="12"/>
    </row>
    <row r="1667" spans="7:7" x14ac:dyDescent="0.15">
      <c r="G1667" s="12"/>
    </row>
    <row r="1668" spans="7:7" x14ac:dyDescent="0.15">
      <c r="G1668" s="12"/>
    </row>
    <row r="1669" spans="7:7" x14ac:dyDescent="0.15">
      <c r="G1669" s="12"/>
    </row>
    <row r="1670" spans="7:7" x14ac:dyDescent="0.15">
      <c r="G1670" s="12"/>
    </row>
    <row r="1671" spans="7:7" x14ac:dyDescent="0.15">
      <c r="G1671" s="12"/>
    </row>
    <row r="1672" spans="7:7" x14ac:dyDescent="0.15">
      <c r="G1672" s="12"/>
    </row>
    <row r="1673" spans="7:7" x14ac:dyDescent="0.15">
      <c r="G1673" s="12"/>
    </row>
    <row r="1674" spans="7:7" x14ac:dyDescent="0.15">
      <c r="G1674" s="12"/>
    </row>
    <row r="1675" spans="7:7" x14ac:dyDescent="0.15">
      <c r="G1675" s="12"/>
    </row>
    <row r="1676" spans="7:7" x14ac:dyDescent="0.15">
      <c r="G1676" s="12"/>
    </row>
    <row r="1677" spans="7:7" x14ac:dyDescent="0.15">
      <c r="G1677" s="12"/>
    </row>
    <row r="1678" spans="7:7" x14ac:dyDescent="0.15">
      <c r="G1678" s="12"/>
    </row>
    <row r="1679" spans="7:7" x14ac:dyDescent="0.15">
      <c r="G1679" s="12"/>
    </row>
    <row r="1680" spans="7:7" x14ac:dyDescent="0.15">
      <c r="G1680" s="12"/>
    </row>
    <row r="1681" spans="7:7" x14ac:dyDescent="0.15">
      <c r="G1681" s="12"/>
    </row>
    <row r="1682" spans="7:7" x14ac:dyDescent="0.15">
      <c r="G1682" s="12"/>
    </row>
    <row r="1683" spans="7:7" x14ac:dyDescent="0.15">
      <c r="G1683" s="12"/>
    </row>
    <row r="1684" spans="7:7" x14ac:dyDescent="0.15">
      <c r="G1684" s="12"/>
    </row>
    <row r="1685" spans="7:7" x14ac:dyDescent="0.15">
      <c r="G1685" s="12"/>
    </row>
    <row r="1686" spans="7:7" x14ac:dyDescent="0.15">
      <c r="G1686" s="12"/>
    </row>
    <row r="1687" spans="7:7" x14ac:dyDescent="0.15">
      <c r="G1687" s="12"/>
    </row>
    <row r="1688" spans="7:7" x14ac:dyDescent="0.15">
      <c r="G1688" s="12"/>
    </row>
    <row r="1689" spans="7:7" x14ac:dyDescent="0.15">
      <c r="G1689" s="12"/>
    </row>
    <row r="1690" spans="7:7" x14ac:dyDescent="0.15">
      <c r="G1690" s="12"/>
    </row>
    <row r="1691" spans="7:7" x14ac:dyDescent="0.15">
      <c r="G1691" s="12"/>
    </row>
    <row r="1692" spans="7:7" x14ac:dyDescent="0.15">
      <c r="G1692" s="12"/>
    </row>
    <row r="1693" spans="7:7" x14ac:dyDescent="0.15">
      <c r="G1693" s="12"/>
    </row>
    <row r="1694" spans="7:7" x14ac:dyDescent="0.15">
      <c r="G1694" s="12"/>
    </row>
    <row r="1695" spans="7:7" x14ac:dyDescent="0.15">
      <c r="G1695" s="12"/>
    </row>
    <row r="1696" spans="7:7" x14ac:dyDescent="0.15">
      <c r="G1696" s="12"/>
    </row>
    <row r="1697" spans="7:7" x14ac:dyDescent="0.15">
      <c r="G1697" s="12"/>
    </row>
    <row r="1698" spans="7:7" x14ac:dyDescent="0.15">
      <c r="G1698" s="12"/>
    </row>
    <row r="1699" spans="7:7" x14ac:dyDescent="0.15">
      <c r="G1699" s="12"/>
    </row>
    <row r="1700" spans="7:7" x14ac:dyDescent="0.15">
      <c r="G1700" s="12"/>
    </row>
    <row r="1701" spans="7:7" x14ac:dyDescent="0.15">
      <c r="G1701" s="12"/>
    </row>
    <row r="1702" spans="7:7" x14ac:dyDescent="0.15">
      <c r="G1702" s="12"/>
    </row>
    <row r="1703" spans="7:7" x14ac:dyDescent="0.15">
      <c r="G1703" s="12"/>
    </row>
    <row r="1704" spans="7:7" x14ac:dyDescent="0.15">
      <c r="G1704" s="12"/>
    </row>
    <row r="1705" spans="7:7" x14ac:dyDescent="0.15">
      <c r="G1705" s="12"/>
    </row>
    <row r="1706" spans="7:7" x14ac:dyDescent="0.15">
      <c r="G1706" s="12"/>
    </row>
    <row r="1707" spans="7:7" x14ac:dyDescent="0.15">
      <c r="G1707" s="12"/>
    </row>
    <row r="1708" spans="7:7" x14ac:dyDescent="0.15">
      <c r="G1708" s="12"/>
    </row>
    <row r="1709" spans="7:7" x14ac:dyDescent="0.15">
      <c r="G1709" s="12"/>
    </row>
    <row r="1710" spans="7:7" x14ac:dyDescent="0.15">
      <c r="G1710" s="12"/>
    </row>
    <row r="1711" spans="7:7" x14ac:dyDescent="0.15">
      <c r="G1711" s="12"/>
    </row>
    <row r="1712" spans="7:7" x14ac:dyDescent="0.15">
      <c r="G1712" s="12"/>
    </row>
    <row r="1713" spans="7:7" x14ac:dyDescent="0.15">
      <c r="G1713" s="12"/>
    </row>
    <row r="1714" spans="7:7" x14ac:dyDescent="0.15">
      <c r="G1714" s="12"/>
    </row>
    <row r="1715" spans="7:7" x14ac:dyDescent="0.15">
      <c r="G1715" s="12"/>
    </row>
    <row r="1716" spans="7:7" x14ac:dyDescent="0.15">
      <c r="G1716" s="12"/>
    </row>
    <row r="1717" spans="7:7" x14ac:dyDescent="0.15">
      <c r="G1717" s="12"/>
    </row>
    <row r="1718" spans="7:7" x14ac:dyDescent="0.15">
      <c r="G1718" s="12"/>
    </row>
    <row r="1719" spans="7:7" x14ac:dyDescent="0.15">
      <c r="G1719" s="12"/>
    </row>
    <row r="1720" spans="7:7" x14ac:dyDescent="0.15">
      <c r="G1720" s="12"/>
    </row>
    <row r="1721" spans="7:7" x14ac:dyDescent="0.15">
      <c r="G1721" s="12"/>
    </row>
    <row r="1722" spans="7:7" x14ac:dyDescent="0.15">
      <c r="G1722" s="12"/>
    </row>
    <row r="1723" spans="7:7" x14ac:dyDescent="0.15">
      <c r="G1723" s="12"/>
    </row>
    <row r="1724" spans="7:7" x14ac:dyDescent="0.15">
      <c r="G1724" s="12"/>
    </row>
    <row r="1725" spans="7:7" x14ac:dyDescent="0.15">
      <c r="G1725" s="12"/>
    </row>
    <row r="1726" spans="7:7" x14ac:dyDescent="0.15">
      <c r="G1726" s="12"/>
    </row>
    <row r="1727" spans="7:7" x14ac:dyDescent="0.15">
      <c r="G1727" s="12"/>
    </row>
    <row r="1728" spans="7:7" x14ac:dyDescent="0.15">
      <c r="G1728" s="12"/>
    </row>
    <row r="1729" spans="7:7" x14ac:dyDescent="0.15">
      <c r="G1729" s="12"/>
    </row>
    <row r="1730" spans="7:7" x14ac:dyDescent="0.15">
      <c r="G1730" s="12"/>
    </row>
    <row r="1731" spans="7:7" x14ac:dyDescent="0.15">
      <c r="G1731" s="12"/>
    </row>
    <row r="1732" spans="7:7" x14ac:dyDescent="0.15">
      <c r="G1732" s="12"/>
    </row>
    <row r="1733" spans="7:7" x14ac:dyDescent="0.15">
      <c r="G1733" s="12"/>
    </row>
    <row r="1734" spans="7:7" x14ac:dyDescent="0.15">
      <c r="G1734" s="12"/>
    </row>
    <row r="1735" spans="7:7" x14ac:dyDescent="0.15">
      <c r="G1735" s="12"/>
    </row>
    <row r="1736" spans="7:7" x14ac:dyDescent="0.15">
      <c r="G1736" s="12"/>
    </row>
    <row r="1737" spans="7:7" x14ac:dyDescent="0.15">
      <c r="G1737" s="12"/>
    </row>
    <row r="1738" spans="7:7" x14ac:dyDescent="0.15">
      <c r="G1738" s="12"/>
    </row>
    <row r="1739" spans="7:7" x14ac:dyDescent="0.15">
      <c r="G1739" s="12"/>
    </row>
    <row r="1740" spans="7:7" x14ac:dyDescent="0.15">
      <c r="G1740" s="12"/>
    </row>
    <row r="1741" spans="7:7" x14ac:dyDescent="0.15">
      <c r="G1741" s="12"/>
    </row>
    <row r="1742" spans="7:7" x14ac:dyDescent="0.15">
      <c r="G1742" s="12"/>
    </row>
    <row r="1743" spans="7:7" x14ac:dyDescent="0.15">
      <c r="G1743" s="12"/>
    </row>
    <row r="1744" spans="7:7" x14ac:dyDescent="0.15">
      <c r="G1744" s="12"/>
    </row>
    <row r="1745" spans="7:7" x14ac:dyDescent="0.15">
      <c r="G1745" s="12"/>
    </row>
    <row r="1746" spans="7:7" x14ac:dyDescent="0.15">
      <c r="G1746" s="12"/>
    </row>
    <row r="1747" spans="7:7" x14ac:dyDescent="0.15">
      <c r="G1747" s="12"/>
    </row>
    <row r="1748" spans="7:7" x14ac:dyDescent="0.15">
      <c r="G1748" s="12"/>
    </row>
    <row r="1749" spans="7:7" x14ac:dyDescent="0.15">
      <c r="G1749" s="12"/>
    </row>
    <row r="1750" spans="7:7" x14ac:dyDescent="0.15">
      <c r="G1750" s="12"/>
    </row>
    <row r="1751" spans="7:7" x14ac:dyDescent="0.15">
      <c r="G1751" s="12"/>
    </row>
    <row r="1752" spans="7:7" x14ac:dyDescent="0.15">
      <c r="G1752" s="12"/>
    </row>
    <row r="1753" spans="7:7" x14ac:dyDescent="0.15">
      <c r="G1753" s="12"/>
    </row>
    <row r="1754" spans="7:7" x14ac:dyDescent="0.15">
      <c r="G1754" s="12"/>
    </row>
    <row r="1755" spans="7:7" x14ac:dyDescent="0.15">
      <c r="G1755" s="12"/>
    </row>
    <row r="1756" spans="7:7" x14ac:dyDescent="0.15">
      <c r="G1756" s="12"/>
    </row>
    <row r="1757" spans="7:7" x14ac:dyDescent="0.15">
      <c r="G1757" s="12"/>
    </row>
    <row r="1758" spans="7:7" x14ac:dyDescent="0.15">
      <c r="G1758" s="12"/>
    </row>
    <row r="1759" spans="7:7" x14ac:dyDescent="0.15">
      <c r="G1759" s="12"/>
    </row>
    <row r="1760" spans="7:7" x14ac:dyDescent="0.15">
      <c r="G1760" s="12"/>
    </row>
    <row r="1761" spans="7:7" x14ac:dyDescent="0.15">
      <c r="G1761" s="12"/>
    </row>
    <row r="1762" spans="7:7" x14ac:dyDescent="0.15">
      <c r="G1762" s="12"/>
    </row>
    <row r="1763" spans="7:7" x14ac:dyDescent="0.15">
      <c r="G1763" s="12"/>
    </row>
    <row r="1764" spans="7:7" x14ac:dyDescent="0.15">
      <c r="G1764" s="12"/>
    </row>
    <row r="1765" spans="7:7" x14ac:dyDescent="0.15">
      <c r="G1765" s="12"/>
    </row>
    <row r="1766" spans="7:7" x14ac:dyDescent="0.15">
      <c r="G1766" s="12"/>
    </row>
    <row r="1767" spans="7:7" x14ac:dyDescent="0.15">
      <c r="G1767" s="12"/>
    </row>
    <row r="1768" spans="7:7" x14ac:dyDescent="0.15">
      <c r="G1768" s="12"/>
    </row>
    <row r="1769" spans="7:7" x14ac:dyDescent="0.15">
      <c r="G1769" s="12"/>
    </row>
    <row r="1770" spans="7:7" x14ac:dyDescent="0.15">
      <c r="G1770" s="12"/>
    </row>
    <row r="1771" spans="7:7" x14ac:dyDescent="0.15">
      <c r="G1771" s="12"/>
    </row>
    <row r="1772" spans="7:7" x14ac:dyDescent="0.15">
      <c r="G1772" s="12"/>
    </row>
    <row r="1773" spans="7:7" x14ac:dyDescent="0.15">
      <c r="G1773" s="12"/>
    </row>
    <row r="1774" spans="7:7" x14ac:dyDescent="0.15">
      <c r="G1774" s="12"/>
    </row>
    <row r="1775" spans="7:7" x14ac:dyDescent="0.15">
      <c r="G1775" s="12"/>
    </row>
    <row r="1776" spans="7:7" x14ac:dyDescent="0.15">
      <c r="G1776" s="12"/>
    </row>
    <row r="1777" spans="7:7" x14ac:dyDescent="0.15">
      <c r="G1777" s="12"/>
    </row>
    <row r="1778" spans="7:7" x14ac:dyDescent="0.15">
      <c r="G1778" s="12"/>
    </row>
    <row r="1779" spans="7:7" x14ac:dyDescent="0.15">
      <c r="G1779" s="12"/>
    </row>
    <row r="1780" spans="7:7" x14ac:dyDescent="0.15">
      <c r="G1780" s="12"/>
    </row>
    <row r="1781" spans="7:7" x14ac:dyDescent="0.15">
      <c r="G1781" s="12"/>
    </row>
    <row r="1782" spans="7:7" x14ac:dyDescent="0.15">
      <c r="G1782" s="12"/>
    </row>
    <row r="1783" spans="7:7" x14ac:dyDescent="0.15">
      <c r="G1783" s="12"/>
    </row>
    <row r="1784" spans="7:7" x14ac:dyDescent="0.15">
      <c r="G1784" s="12"/>
    </row>
    <row r="1785" spans="7:7" x14ac:dyDescent="0.15">
      <c r="G1785" s="12"/>
    </row>
    <row r="1786" spans="7:7" x14ac:dyDescent="0.15">
      <c r="G1786" s="12"/>
    </row>
    <row r="1787" spans="7:7" x14ac:dyDescent="0.15">
      <c r="G1787" s="12"/>
    </row>
    <row r="1788" spans="7:7" x14ac:dyDescent="0.15">
      <c r="G1788" s="12"/>
    </row>
    <row r="1789" spans="7:7" x14ac:dyDescent="0.15">
      <c r="G1789" s="12"/>
    </row>
    <row r="1790" spans="7:7" x14ac:dyDescent="0.15">
      <c r="G1790" s="12"/>
    </row>
    <row r="1791" spans="7:7" x14ac:dyDescent="0.15">
      <c r="G1791" s="12"/>
    </row>
    <row r="1792" spans="7:7" x14ac:dyDescent="0.15">
      <c r="G1792" s="12"/>
    </row>
    <row r="1793" spans="7:7" x14ac:dyDescent="0.15">
      <c r="G1793" s="12"/>
    </row>
    <row r="1794" spans="7:7" x14ac:dyDescent="0.15">
      <c r="G1794" s="12"/>
    </row>
    <row r="1795" spans="7:7" x14ac:dyDescent="0.15">
      <c r="G1795" s="12"/>
    </row>
    <row r="1796" spans="7:7" x14ac:dyDescent="0.15">
      <c r="G1796" s="12"/>
    </row>
    <row r="1797" spans="7:7" x14ac:dyDescent="0.15">
      <c r="G1797" s="12"/>
    </row>
    <row r="1798" spans="7:7" x14ac:dyDescent="0.15">
      <c r="G1798" s="12"/>
    </row>
    <row r="1799" spans="7:7" x14ac:dyDescent="0.15">
      <c r="G1799" s="12"/>
    </row>
    <row r="1800" spans="7:7" x14ac:dyDescent="0.15">
      <c r="G1800" s="12"/>
    </row>
    <row r="1801" spans="7:7" x14ac:dyDescent="0.15">
      <c r="G1801" s="12"/>
    </row>
    <row r="1802" spans="7:7" x14ac:dyDescent="0.15">
      <c r="G1802" s="12"/>
    </row>
    <row r="1803" spans="7:7" x14ac:dyDescent="0.15">
      <c r="G1803" s="12"/>
    </row>
    <row r="1804" spans="7:7" x14ac:dyDescent="0.15">
      <c r="G1804" s="12"/>
    </row>
    <row r="1805" spans="7:7" x14ac:dyDescent="0.15">
      <c r="G1805" s="12"/>
    </row>
    <row r="1806" spans="7:7" x14ac:dyDescent="0.15">
      <c r="G1806" s="12"/>
    </row>
    <row r="1807" spans="7:7" x14ac:dyDescent="0.15">
      <c r="G1807" s="12"/>
    </row>
    <row r="1808" spans="7:7" x14ac:dyDescent="0.15">
      <c r="G1808" s="12"/>
    </row>
    <row r="1809" spans="7:7" x14ac:dyDescent="0.15">
      <c r="G1809" s="12"/>
    </row>
    <row r="1810" spans="7:7" x14ac:dyDescent="0.15">
      <c r="G1810" s="12"/>
    </row>
    <row r="1811" spans="7:7" x14ac:dyDescent="0.15">
      <c r="G1811" s="12"/>
    </row>
    <row r="1812" spans="7:7" x14ac:dyDescent="0.15">
      <c r="G1812" s="12"/>
    </row>
    <row r="1813" spans="7:7" x14ac:dyDescent="0.15">
      <c r="G1813" s="12"/>
    </row>
    <row r="1814" spans="7:7" x14ac:dyDescent="0.15">
      <c r="G1814" s="12"/>
    </row>
    <row r="1815" spans="7:7" x14ac:dyDescent="0.15">
      <c r="G1815" s="12"/>
    </row>
    <row r="1816" spans="7:7" x14ac:dyDescent="0.15">
      <c r="G1816" s="12"/>
    </row>
    <row r="1817" spans="7:7" x14ac:dyDescent="0.15">
      <c r="G1817" s="12"/>
    </row>
    <row r="1818" spans="7:7" x14ac:dyDescent="0.15">
      <c r="G1818" s="12"/>
    </row>
    <row r="1819" spans="7:7" x14ac:dyDescent="0.15">
      <c r="G1819" s="12"/>
    </row>
    <row r="1820" spans="7:7" x14ac:dyDescent="0.15">
      <c r="G1820" s="12"/>
    </row>
    <row r="1821" spans="7:7" x14ac:dyDescent="0.15">
      <c r="G1821" s="12"/>
    </row>
    <row r="1822" spans="7:7" x14ac:dyDescent="0.15">
      <c r="G1822" s="12"/>
    </row>
    <row r="1823" spans="7:7" x14ac:dyDescent="0.15">
      <c r="G1823" s="12"/>
    </row>
    <row r="1824" spans="7:7" x14ac:dyDescent="0.15">
      <c r="G1824" s="12"/>
    </row>
    <row r="1825" spans="7:7" x14ac:dyDescent="0.15">
      <c r="G1825" s="12"/>
    </row>
    <row r="1826" spans="7:7" x14ac:dyDescent="0.15">
      <c r="G1826" s="12"/>
    </row>
    <row r="1827" spans="7:7" x14ac:dyDescent="0.15">
      <c r="G1827" s="12"/>
    </row>
    <row r="1828" spans="7:7" x14ac:dyDescent="0.15">
      <c r="G1828" s="12"/>
    </row>
    <row r="1829" spans="7:7" x14ac:dyDescent="0.15">
      <c r="G1829" s="12"/>
    </row>
    <row r="1830" spans="7:7" x14ac:dyDescent="0.15">
      <c r="G1830" s="12"/>
    </row>
    <row r="1831" spans="7:7" x14ac:dyDescent="0.15">
      <c r="G1831" s="12"/>
    </row>
    <row r="1832" spans="7:7" x14ac:dyDescent="0.15">
      <c r="G1832" s="12"/>
    </row>
    <row r="1833" spans="7:7" x14ac:dyDescent="0.15">
      <c r="G1833" s="12"/>
    </row>
    <row r="1834" spans="7:7" x14ac:dyDescent="0.15">
      <c r="G1834" s="12"/>
    </row>
    <row r="1835" spans="7:7" x14ac:dyDescent="0.15">
      <c r="G1835" s="12"/>
    </row>
    <row r="1836" spans="7:7" x14ac:dyDescent="0.15">
      <c r="G1836" s="12"/>
    </row>
    <row r="1837" spans="7:7" x14ac:dyDescent="0.15">
      <c r="G1837" s="12"/>
    </row>
    <row r="1838" spans="7:7" x14ac:dyDescent="0.15">
      <c r="G1838" s="12"/>
    </row>
    <row r="1839" spans="7:7" x14ac:dyDescent="0.15">
      <c r="G1839" s="12"/>
    </row>
    <row r="1840" spans="7:7" x14ac:dyDescent="0.15">
      <c r="G1840" s="12"/>
    </row>
    <row r="1841" spans="7:7" x14ac:dyDescent="0.15">
      <c r="G1841" s="12"/>
    </row>
    <row r="1842" spans="7:7" x14ac:dyDescent="0.15">
      <c r="G1842" s="12"/>
    </row>
    <row r="1843" spans="7:7" x14ac:dyDescent="0.15">
      <c r="G1843" s="12"/>
    </row>
    <row r="1844" spans="7:7" x14ac:dyDescent="0.15">
      <c r="G1844" s="12"/>
    </row>
    <row r="1845" spans="7:7" x14ac:dyDescent="0.15">
      <c r="G1845" s="12"/>
    </row>
    <row r="1846" spans="7:7" x14ac:dyDescent="0.15">
      <c r="G1846" s="12"/>
    </row>
    <row r="1847" spans="7:7" x14ac:dyDescent="0.15">
      <c r="G1847" s="12"/>
    </row>
    <row r="1848" spans="7:7" x14ac:dyDescent="0.15">
      <c r="G1848" s="12"/>
    </row>
    <row r="1849" spans="7:7" x14ac:dyDescent="0.15">
      <c r="G1849" s="12"/>
    </row>
    <row r="1850" spans="7:7" x14ac:dyDescent="0.15">
      <c r="G1850" s="12"/>
    </row>
    <row r="1851" spans="7:7" x14ac:dyDescent="0.15">
      <c r="G1851" s="12"/>
    </row>
    <row r="1852" spans="7:7" x14ac:dyDescent="0.15">
      <c r="G1852" s="12"/>
    </row>
    <row r="1853" spans="7:7" x14ac:dyDescent="0.15">
      <c r="G1853" s="12"/>
    </row>
    <row r="1854" spans="7:7" x14ac:dyDescent="0.15">
      <c r="G1854" s="12"/>
    </row>
    <row r="1855" spans="7:7" x14ac:dyDescent="0.15">
      <c r="G1855" s="12"/>
    </row>
    <row r="1856" spans="7:7" x14ac:dyDescent="0.15">
      <c r="G1856" s="12"/>
    </row>
    <row r="1857" spans="7:7" x14ac:dyDescent="0.15">
      <c r="G1857" s="12"/>
    </row>
    <row r="1858" spans="7:7" x14ac:dyDescent="0.15">
      <c r="G1858" s="12"/>
    </row>
    <row r="1859" spans="7:7" x14ac:dyDescent="0.15">
      <c r="G1859" s="12"/>
    </row>
    <row r="1860" spans="7:7" x14ac:dyDescent="0.15">
      <c r="G1860" s="12"/>
    </row>
    <row r="1861" spans="7:7" x14ac:dyDescent="0.15">
      <c r="G1861" s="12"/>
    </row>
    <row r="1862" spans="7:7" x14ac:dyDescent="0.15">
      <c r="G1862" s="12"/>
    </row>
    <row r="1863" spans="7:7" x14ac:dyDescent="0.15">
      <c r="G1863" s="12"/>
    </row>
    <row r="1864" spans="7:7" x14ac:dyDescent="0.15">
      <c r="G1864" s="12"/>
    </row>
    <row r="1865" spans="7:7" x14ac:dyDescent="0.15">
      <c r="G1865" s="12"/>
    </row>
    <row r="1866" spans="7:7" x14ac:dyDescent="0.15">
      <c r="G1866" s="12"/>
    </row>
    <row r="1867" spans="7:7" x14ac:dyDescent="0.15">
      <c r="G1867" s="12"/>
    </row>
    <row r="1868" spans="7:7" x14ac:dyDescent="0.15">
      <c r="G1868" s="12"/>
    </row>
    <row r="1869" spans="7:7" x14ac:dyDescent="0.15">
      <c r="G1869" s="12"/>
    </row>
    <row r="1870" spans="7:7" x14ac:dyDescent="0.15">
      <c r="G1870" s="12"/>
    </row>
    <row r="1871" spans="7:7" x14ac:dyDescent="0.15">
      <c r="G1871" s="12"/>
    </row>
    <row r="1872" spans="7:7" x14ac:dyDescent="0.15">
      <c r="G1872" s="12"/>
    </row>
    <row r="1873" spans="7:7" x14ac:dyDescent="0.15">
      <c r="G1873" s="12"/>
    </row>
    <row r="1874" spans="7:7" x14ac:dyDescent="0.15">
      <c r="G1874" s="12"/>
    </row>
    <row r="1875" spans="7:7" x14ac:dyDescent="0.15">
      <c r="G1875" s="12"/>
    </row>
    <row r="1876" spans="7:7" x14ac:dyDescent="0.15">
      <c r="G1876" s="12"/>
    </row>
    <row r="1877" spans="7:7" x14ac:dyDescent="0.15">
      <c r="G1877" s="12"/>
    </row>
    <row r="1878" spans="7:7" x14ac:dyDescent="0.15">
      <c r="G1878" s="12"/>
    </row>
    <row r="1879" spans="7:7" x14ac:dyDescent="0.15">
      <c r="G1879" s="12"/>
    </row>
    <row r="1880" spans="7:7" x14ac:dyDescent="0.15">
      <c r="G1880" s="12"/>
    </row>
    <row r="1881" spans="7:7" x14ac:dyDescent="0.15">
      <c r="G1881" s="12"/>
    </row>
    <row r="1882" spans="7:7" x14ac:dyDescent="0.15">
      <c r="G1882" s="12"/>
    </row>
    <row r="1883" spans="7:7" x14ac:dyDescent="0.15">
      <c r="G1883" s="12"/>
    </row>
    <row r="1884" spans="7:7" x14ac:dyDescent="0.15">
      <c r="G1884" s="12"/>
    </row>
    <row r="1885" spans="7:7" x14ac:dyDescent="0.15">
      <c r="G1885" s="12"/>
    </row>
    <row r="1886" spans="7:7" x14ac:dyDescent="0.15">
      <c r="G1886" s="12"/>
    </row>
    <row r="1887" spans="7:7" x14ac:dyDescent="0.15">
      <c r="G1887" s="12"/>
    </row>
    <row r="1888" spans="7:7" x14ac:dyDescent="0.15">
      <c r="G1888" s="12"/>
    </row>
    <row r="1889" spans="7:7" x14ac:dyDescent="0.15">
      <c r="G1889" s="12"/>
    </row>
    <row r="1890" spans="7:7" x14ac:dyDescent="0.15">
      <c r="G1890" s="12"/>
    </row>
    <row r="1891" spans="7:7" x14ac:dyDescent="0.15">
      <c r="G1891" s="12"/>
    </row>
    <row r="1892" spans="7:7" x14ac:dyDescent="0.15">
      <c r="G1892" s="12"/>
    </row>
    <row r="1893" spans="7:7" x14ac:dyDescent="0.15">
      <c r="G1893" s="12"/>
    </row>
    <row r="1894" spans="7:7" x14ac:dyDescent="0.15">
      <c r="G1894" s="12"/>
    </row>
    <row r="1895" spans="7:7" x14ac:dyDescent="0.15">
      <c r="G1895" s="12"/>
    </row>
    <row r="1896" spans="7:7" x14ac:dyDescent="0.15">
      <c r="G1896" s="12"/>
    </row>
    <row r="1897" spans="7:7" x14ac:dyDescent="0.15">
      <c r="G1897" s="12"/>
    </row>
    <row r="1898" spans="7:7" x14ac:dyDescent="0.15">
      <c r="G1898" s="12"/>
    </row>
    <row r="1899" spans="7:7" x14ac:dyDescent="0.15">
      <c r="G1899" s="12"/>
    </row>
    <row r="1900" spans="7:7" x14ac:dyDescent="0.15">
      <c r="G1900" s="12"/>
    </row>
    <row r="1901" spans="7:7" x14ac:dyDescent="0.15">
      <c r="G1901" s="12"/>
    </row>
    <row r="1902" spans="7:7" x14ac:dyDescent="0.15">
      <c r="G1902" s="12"/>
    </row>
    <row r="1903" spans="7:7" x14ac:dyDescent="0.15">
      <c r="G1903" s="12"/>
    </row>
    <row r="1904" spans="7:7" x14ac:dyDescent="0.15">
      <c r="G1904" s="12"/>
    </row>
    <row r="1905" spans="7:7" x14ac:dyDescent="0.15">
      <c r="G1905" s="12"/>
    </row>
    <row r="1906" spans="7:7" x14ac:dyDescent="0.15">
      <c r="G1906" s="12"/>
    </row>
    <row r="1907" spans="7:7" x14ac:dyDescent="0.15">
      <c r="G1907" s="12"/>
    </row>
    <row r="1908" spans="7:7" x14ac:dyDescent="0.15">
      <c r="G1908" s="12"/>
    </row>
    <row r="1909" spans="7:7" x14ac:dyDescent="0.15">
      <c r="G1909" s="12"/>
    </row>
    <row r="1910" spans="7:7" x14ac:dyDescent="0.15">
      <c r="G1910" s="12"/>
    </row>
    <row r="1911" spans="7:7" x14ac:dyDescent="0.15">
      <c r="G1911" s="12"/>
    </row>
    <row r="1912" spans="7:7" x14ac:dyDescent="0.15">
      <c r="G1912" s="12"/>
    </row>
    <row r="1913" spans="7:7" x14ac:dyDescent="0.15">
      <c r="G1913" s="12"/>
    </row>
    <row r="1914" spans="7:7" x14ac:dyDescent="0.15">
      <c r="G1914" s="12"/>
    </row>
    <row r="1915" spans="7:7" x14ac:dyDescent="0.15">
      <c r="G1915" s="12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469127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5"/>
  <sheetViews>
    <sheetView workbookViewId="0">
      <selection activeCell="D27" sqref="D27"/>
    </sheetView>
  </sheetViews>
  <sheetFormatPr defaultColWidth="9.28515625" defaultRowHeight="13.8" x14ac:dyDescent="0.15"/>
  <cols>
    <col min="1" max="1" width="13.140625" style="19" customWidth="1"/>
    <col min="2" max="2" width="12" style="19" bestFit="1" customWidth="1"/>
    <col min="3" max="16384" width="9.28515625" style="19"/>
  </cols>
  <sheetData>
    <row r="1" spans="1:2" x14ac:dyDescent="0.15">
      <c r="A1" s="19" t="s">
        <v>89</v>
      </c>
      <c r="B1" s="19">
        <v>26</v>
      </c>
    </row>
    <row r="2" spans="1:2" x14ac:dyDescent="0.15">
      <c r="A2" s="19" t="s">
        <v>88</v>
      </c>
      <c r="B2" s="19" t="s">
        <v>87</v>
      </c>
    </row>
    <row r="3" spans="1:2" x14ac:dyDescent="0.15">
      <c r="A3" s="19">
        <v>0</v>
      </c>
      <c r="B3" s="19">
        <v>0</v>
      </c>
    </row>
    <row r="4" spans="1:2" x14ac:dyDescent="0.15">
      <c r="A4" s="19">
        <v>0.1</v>
      </c>
      <c r="B4" s="20">
        <f>($B$1^$B$1)*A4^($B$1-1)*EXP(-1*$B$1*A4)/(SQRT(2*PI()*($B$1-1))*($B$1-1)^($B$1-1)*EXP(-($B$1-1)))</f>
        <v>2.9576262122424793E-15</v>
      </c>
    </row>
    <row r="5" spans="1:2" x14ac:dyDescent="0.15">
      <c r="A5" s="19">
        <v>0.2</v>
      </c>
      <c r="B5" s="20">
        <f t="shared" ref="B5:B25" si="0">($B$1^$B$1)*A5^($B$1-1)*EXP(-1*$B$1*A5)/(SQRT(2*PI()*($B$1-1))*($B$1-1)^($B$1-1)*EXP(-($B$1-1)))</f>
        <v>7.3710189073873612E-9</v>
      </c>
    </row>
    <row r="6" spans="1:2" x14ac:dyDescent="0.15">
      <c r="A6" s="19">
        <v>0.3</v>
      </c>
      <c r="B6" s="20">
        <f t="shared" si="0"/>
        <v>1.3824306328980245E-5</v>
      </c>
    </row>
    <row r="7" spans="1:2" x14ac:dyDescent="0.15">
      <c r="A7" s="19">
        <v>0.4</v>
      </c>
      <c r="B7" s="20">
        <f t="shared" si="0"/>
        <v>1.3644138238715496E-3</v>
      </c>
    </row>
    <row r="8" spans="1:2" x14ac:dyDescent="0.15">
      <c r="A8" s="19">
        <v>0.5</v>
      </c>
      <c r="B8" s="20">
        <f t="shared" si="0"/>
        <v>2.6824447348498766E-2</v>
      </c>
    </row>
    <row r="9" spans="1:2" x14ac:dyDescent="0.15">
      <c r="A9" s="19">
        <v>0.6</v>
      </c>
      <c r="B9" s="20">
        <f t="shared" si="0"/>
        <v>0.19006243169336065</v>
      </c>
    </row>
    <row r="10" spans="1:2" x14ac:dyDescent="0.15">
      <c r="A10" s="19">
        <v>0.7</v>
      </c>
      <c r="B10" s="20">
        <f t="shared" si="0"/>
        <v>0.66588674380227353</v>
      </c>
    </row>
    <row r="11" spans="1:2" x14ac:dyDescent="0.15">
      <c r="A11" s="19">
        <v>0.8</v>
      </c>
      <c r="B11" s="20">
        <f t="shared" si="0"/>
        <v>1.393263919879802</v>
      </c>
    </row>
    <row r="12" spans="1:2" x14ac:dyDescent="0.15">
      <c r="A12" s="19">
        <v>0.9</v>
      </c>
      <c r="B12" s="20">
        <f t="shared" si="0"/>
        <v>1.9664404491449505</v>
      </c>
    </row>
    <row r="13" spans="1:2" x14ac:dyDescent="0.15">
      <c r="A13" s="19">
        <v>1</v>
      </c>
      <c r="B13" s="20">
        <f t="shared" si="0"/>
        <v>2.0344752458909148</v>
      </c>
    </row>
    <row r="14" spans="1:2" x14ac:dyDescent="0.15">
      <c r="A14" s="19">
        <v>1.1000000000000001</v>
      </c>
      <c r="B14" s="20">
        <f t="shared" si="0"/>
        <v>1.6372081052844141</v>
      </c>
    </row>
    <row r="15" spans="1:2" x14ac:dyDescent="0.15">
      <c r="A15" s="19">
        <v>1.2</v>
      </c>
      <c r="B15" s="20">
        <f t="shared" si="0"/>
        <v>1.0706616705699274</v>
      </c>
    </row>
    <row r="16" spans="1:2" x14ac:dyDescent="0.15">
      <c r="A16" s="19">
        <v>1.3</v>
      </c>
      <c r="B16" s="20">
        <f t="shared" si="0"/>
        <v>0.58821928490266928</v>
      </c>
    </row>
    <row r="17" spans="1:2" x14ac:dyDescent="0.15">
      <c r="A17" s="19">
        <v>1.4</v>
      </c>
      <c r="B17" s="20">
        <f t="shared" si="0"/>
        <v>0.27860614441844017</v>
      </c>
    </row>
    <row r="18" spans="1:2" x14ac:dyDescent="0.15">
      <c r="A18" s="19">
        <v>1.5</v>
      </c>
      <c r="B18" s="20">
        <f t="shared" si="0"/>
        <v>0.11611962420662626</v>
      </c>
    </row>
    <row r="19" spans="1:2" x14ac:dyDescent="0.15">
      <c r="A19" s="19">
        <v>1.6</v>
      </c>
      <c r="B19" s="20">
        <f t="shared" si="0"/>
        <v>4.3297025233357857E-2</v>
      </c>
    </row>
    <row r="20" spans="1:2" x14ac:dyDescent="0.15">
      <c r="A20" s="19">
        <v>1.7</v>
      </c>
      <c r="B20" s="20">
        <f t="shared" si="0"/>
        <v>1.4639150439362168E-2</v>
      </c>
    </row>
    <row r="21" spans="1:2" x14ac:dyDescent="0.15">
      <c r="A21" s="19">
        <v>1.8</v>
      </c>
      <c r="B21" s="20">
        <f t="shared" si="0"/>
        <v>4.5387871226036857E-3</v>
      </c>
    </row>
    <row r="22" spans="1:2" x14ac:dyDescent="0.15">
      <c r="A22" s="19">
        <v>1.9</v>
      </c>
      <c r="B22" s="20">
        <f t="shared" si="0"/>
        <v>1.3025714569294676E-3</v>
      </c>
    </row>
    <row r="23" spans="1:2" x14ac:dyDescent="0.15">
      <c r="A23" s="19">
        <v>2</v>
      </c>
      <c r="B23" s="20">
        <f t="shared" si="0"/>
        <v>3.4877534111030483E-4</v>
      </c>
    </row>
    <row r="24" spans="1:2" x14ac:dyDescent="0.15">
      <c r="A24" s="19">
        <v>2.1</v>
      </c>
      <c r="B24" s="20">
        <f t="shared" si="0"/>
        <v>8.7722822336731504E-5</v>
      </c>
    </row>
    <row r="25" spans="1:2" x14ac:dyDescent="0.15">
      <c r="A25" s="19">
        <v>2.2000000000000002</v>
      </c>
      <c r="B25" s="20">
        <f t="shared" si="0"/>
        <v>2.0846425366316006E-5</v>
      </c>
    </row>
  </sheetData>
  <phoneticPr fontId="3"/>
  <pageMargins left="0.75" right="0.75" top="1" bottom="1" header="0.51200000000000001" footer="0.51200000000000001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例題1.8 槽列モデルインパルス応答</vt:lpstr>
      <vt:lpstr>解析解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2017-02-03T06:22:00Z</dcterms:modified>
</cp:coreProperties>
</file>