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50" yWindow="138" windowWidth="13799" windowHeight="13023"/>
  </bookViews>
  <sheets>
    <sheet name="例題1.12 2次遅れ要素比例積分制御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C5" i="2" l="1"/>
  <c r="D5" i="2" s="1"/>
  <c r="B5" i="2"/>
</calcChain>
</file>

<file path=xl/comments1.xml><?xml version="1.0" encoding="utf-8"?>
<comments xmlns="http://schemas.openxmlformats.org/spreadsheetml/2006/main">
  <authors>
    <author>aito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=(1/G2)*D3-(1/G2/G3)*B3
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=(1/G4/G3)*B3-(1/G4/G6)*C3
</t>
        </r>
      </text>
    </comment>
    <comment ref="D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=-G9*C5+(G9/G10)*(G8-C3)
</t>
        </r>
      </text>
    </comment>
  </commentList>
</comments>
</file>

<file path=xl/sharedStrings.xml><?xml version="1.0" encoding="utf-8"?>
<sst xmlns="http://schemas.openxmlformats.org/spreadsheetml/2006/main" count="26" uniqueCount="25">
  <si>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</si>
  <si>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</si>
  <si>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</si>
  <si>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</si>
  <si>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</si>
  <si>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A2=</t>
    <phoneticPr fontId="2"/>
  </si>
  <si>
    <t>hset=</t>
    <phoneticPr fontId="2"/>
  </si>
  <si>
    <t>Kc=</t>
    <phoneticPr fontId="2"/>
  </si>
  <si>
    <t>TI=</t>
    <phoneticPr fontId="2"/>
  </si>
  <si>
    <t>t=</t>
    <phoneticPr fontId="2"/>
  </si>
  <si>
    <t>h1=</t>
    <phoneticPr fontId="2"/>
  </si>
  <si>
    <t>h=</t>
    <phoneticPr fontId="2"/>
  </si>
  <si>
    <t>q=</t>
    <phoneticPr fontId="2"/>
  </si>
  <si>
    <t>h1'=</t>
    <phoneticPr fontId="2"/>
  </si>
  <si>
    <t>h'=</t>
    <phoneticPr fontId="2"/>
  </si>
  <si>
    <t>q'=</t>
    <phoneticPr fontId="2"/>
  </si>
  <si>
    <t>t</t>
    <phoneticPr fontId="2"/>
  </si>
  <si>
    <t>h1</t>
    <phoneticPr fontId="2"/>
  </si>
  <si>
    <t>h</t>
    <phoneticPr fontId="2"/>
  </si>
  <si>
    <t>q</t>
    <phoneticPr fontId="2"/>
  </si>
  <si>
    <t>A1=</t>
    <phoneticPr fontId="2"/>
  </si>
  <si>
    <t>積分区間t=[a,</t>
    <rPh sb="0" eb="2">
      <t>セキブン</t>
    </rPh>
    <rPh sb="2" eb="4">
      <t>クカン</t>
    </rPh>
    <phoneticPr fontId="2"/>
  </si>
  <si>
    <t>積分刻み幅Δt</t>
  </si>
  <si>
    <t>Fss=</t>
    <phoneticPr fontId="2"/>
  </si>
  <si>
    <t>R=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</si>
</sst>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_);[Red]\(0.0\)"/>
    <numFmt numFmtId="181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5">
    <xf numFmtId="0" fontId="0" fillId="0" borderId="0" xfId="0">
      <alignment vertical="center"/>
    </xf>
    <xf numFmtId="0" fontId="3" fillId="0" borderId="0" xfId="2" applyFont="1"/>
    <xf numFmtId="177" fontId="3" fillId="0" borderId="0" xfId="2" applyNumberFormat="1" applyFont="1"/>
    <xf numFmtId="178" fontId="3" fillId="0" borderId="0" xfId="2" applyNumberFormat="1" applyFont="1"/>
    <xf numFmtId="178" fontId="3" fillId="0" borderId="0" xfId="2" applyNumberFormat="1" applyFont="1" applyAlignment="1">
      <alignment horizontal="right"/>
    </xf>
    <xf numFmtId="0" fontId="3" fillId="0" borderId="1" xfId="2" applyFont="1" applyBorder="1"/>
    <xf numFmtId="0" fontId="3" fillId="0" borderId="2" xfId="2" applyFont="1" applyBorder="1"/>
    <xf numFmtId="0" fontId="3" fillId="0" borderId="3" xfId="2" applyFont="1" applyBorder="1"/>
    <xf numFmtId="0" fontId="3" fillId="0" borderId="4" xfId="2" applyFont="1" applyBorder="1"/>
    <xf numFmtId="0" fontId="3" fillId="0" borderId="5" xfId="2" applyFont="1" applyBorder="1"/>
    <xf numFmtId="179" fontId="3" fillId="0" borderId="0" xfId="2" applyNumberFormat="1" applyFont="1"/>
    <xf numFmtId="0" fontId="3" fillId="0" borderId="0" xfId="2" applyFont="1" applyAlignment="1">
      <alignment horizontal="right"/>
    </xf>
    <xf numFmtId="11" fontId="3" fillId="0" borderId="6" xfId="2" applyNumberFormat="1" applyFont="1" applyBorder="1"/>
    <xf numFmtId="0" fontId="3" fillId="0" borderId="0" xfId="2" applyNumberFormat="1" applyFont="1"/>
    <xf numFmtId="11" fontId="3" fillId="0" borderId="7" xfId="2" applyNumberFormat="1" applyFont="1" applyBorder="1"/>
    <xf numFmtId="178" fontId="3" fillId="0" borderId="0" xfId="2" applyNumberFormat="1" applyFont="1" applyBorder="1"/>
    <xf numFmtId="176" fontId="3" fillId="0" borderId="4" xfId="2" applyNumberFormat="1" applyFont="1" applyBorder="1"/>
    <xf numFmtId="176" fontId="3" fillId="0" borderId="0" xfId="2" applyNumberFormat="1" applyFont="1"/>
    <xf numFmtId="181" fontId="3" fillId="0" borderId="0" xfId="2" applyNumberFormat="1" applyFont="1"/>
    <xf numFmtId="0" fontId="3" fillId="0" borderId="0" xfId="2" applyFont="1" applyBorder="1"/>
    <xf numFmtId="177" fontId="3" fillId="0" borderId="0" xfId="2" applyNumberFormat="1" applyFont="1" applyAlignment="1">
      <alignment horizontal="right"/>
    </xf>
    <xf numFmtId="180" fontId="3" fillId="0" borderId="6" xfId="2" applyNumberFormat="1" applyFont="1" applyBorder="1"/>
    <xf numFmtId="180" fontId="3" fillId="0" borderId="0" xfId="2" applyNumberFormat="1" applyFont="1"/>
    <xf numFmtId="180" fontId="3" fillId="0" borderId="7" xfId="2" applyNumberFormat="1" applyFont="1" applyBorder="1"/>
    <xf numFmtId="0" fontId="5" fillId="0" borderId="0" xfId="1" applyFont="1" applyAlignment="1" applyProtection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45024730180302"/>
          <c:y val="6.4935339452023524E-2"/>
          <c:w val="0.80906404563626877"/>
          <c:h val="0.7705660281640124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'例題1.12 2次遅れ要素比例積分制御'!$B$11</c:f>
              <c:strCache>
                <c:ptCount val="1"/>
                <c:pt idx="0">
                  <c:v>h1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'例題1.12 2次遅れ要素比例積分制御'!$A$12:$A$74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'例題1.12 2次遅れ要素比例積分制御'!$B$12:$B$74</c:f>
              <c:numCache>
                <c:formatCode>0.0_);[Red]\(0.0\)</c:formatCode>
                <c:ptCount val="63"/>
                <c:pt idx="0">
                  <c:v>20</c:v>
                </c:pt>
                <c:pt idx="1">
                  <c:v>21.565559466666667</c:v>
                </c:pt>
                <c:pt idx="2">
                  <c:v>23.053396950573966</c:v>
                </c:pt>
                <c:pt idx="3">
                  <c:v>24.452271466489439</c:v>
                </c:pt>
                <c:pt idx="4">
                  <c:v>25.753498743943538</c:v>
                </c:pt>
                <c:pt idx="5">
                  <c:v>26.950771168884891</c:v>
                </c:pt>
                <c:pt idx="6">
                  <c:v>28.039965772980704</c:v>
                </c:pt>
                <c:pt idx="7">
                  <c:v>29.018944363010721</c:v>
                </c:pt>
                <c:pt idx="8">
                  <c:v>29.887349509552397</c:v>
                </c:pt>
                <c:pt idx="9">
                  <c:v>30.646399733019379</c:v>
                </c:pt>
                <c:pt idx="10">
                  <c:v>31.298686842347649</c:v>
                </c:pt>
                <c:pt idx="11">
                  <c:v>31.847978002761749</c:v>
                </c:pt>
                <c:pt idx="12">
                  <c:v>32.299024738926924</c:v>
                </c:pt>
                <c:pt idx="13">
                  <c:v>32.657380722539592</c:v>
                </c:pt>
                <c:pt idx="14">
                  <c:v>32.92922985249772</c:v>
                </c:pt>
                <c:pt idx="15">
                  <c:v>33.121225814056388</c:v>
                </c:pt>
                <c:pt idx="16">
                  <c:v>33.240344003041983</c:v>
                </c:pt>
                <c:pt idx="17">
                  <c:v>33.293746423938849</c:v>
                </c:pt>
                <c:pt idx="18">
                  <c:v>33.288659917623676</c:v>
                </c:pt>
                <c:pt idx="19">
                  <c:v>33.232267846380267</c:v>
                </c:pt>
                <c:pt idx="20">
                  <c:v>33.131615160828382</c:v>
                </c:pt>
                <c:pt idx="21">
                  <c:v>32.993526595412476</c:v>
                </c:pt>
                <c:pt idx="22">
                  <c:v>32.824537585652628</c:v>
                </c:pt>
                <c:pt idx="23">
                  <c:v>32.630837370707368</c:v>
                </c:pt>
                <c:pt idx="24">
                  <c:v>32.418223637938645</c:v>
                </c:pt>
                <c:pt idx="25">
                  <c:v>32.192067980905328</c:v>
                </c:pt>
                <c:pt idx="26">
                  <c:v>31.9572913771852</c:v>
                </c:pt>
                <c:pt idx="27">
                  <c:v>31.718348846155973</c:v>
                </c:pt>
                <c:pt idx="28">
                  <c:v>31.479222417785913</c:v>
                </c:pt>
                <c:pt idx="29">
                  <c:v>31.243421529971563</c:v>
                </c:pt>
                <c:pt idx="30">
                  <c:v>31.013989972365138</c:v>
                </c:pt>
                <c:pt idx="31">
                  <c:v>30.793518507309376</c:v>
                </c:pt>
                <c:pt idx="32">
                  <c:v>30.584162321817569</c:v>
                </c:pt>
                <c:pt idx="33">
                  <c:v>30.3876624969194</c:v>
                </c:pt>
                <c:pt idx="34">
                  <c:v>30.205370720617079</c:v>
                </c:pt>
                <c:pt idx="35">
                  <c:v>30.03827651671374</c:v>
                </c:pt>
                <c:pt idx="36">
                  <c:v>29.887036312525211</c:v>
                </c:pt>
                <c:pt idx="37">
                  <c:v>29.752003722700028</c:v>
                </c:pt>
                <c:pt idx="38">
                  <c:v>29.6332604828849</c:v>
                </c:pt>
                <c:pt idx="39">
                  <c:v>29.530647524723445</c:v>
                </c:pt>
                <c:pt idx="40">
                  <c:v>29.44379574171203</c:v>
                </c:pt>
                <c:pt idx="41">
                  <c:v>29.372156052914107</c:v>
                </c:pt>
                <c:pt idx="42">
                  <c:v>29.315028427716591</c:v>
                </c:pt>
                <c:pt idx="43">
                  <c:v>29.271589589066974</c:v>
                </c:pt>
                <c:pt idx="44">
                  <c:v>29.240919164427844</c:v>
                </c:pt>
                <c:pt idx="45">
                  <c:v>29.222024102592762</c:v>
                </c:pt>
                <c:pt idx="46">
                  <c:v>29.213861220182466</c:v>
                </c:pt>
                <c:pt idx="47">
                  <c:v>29.215357783826516</c:v>
                </c:pt>
                <c:pt idx="48">
                  <c:v>29.225430072555628</c:v>
                </c:pt>
                <c:pt idx="49">
                  <c:v>29.242999899678619</c:v>
                </c:pt>
                <c:pt idx="50">
                  <c:v>29.267009104355143</c:v>
                </c:pt>
                <c:pt idx="51">
                  <c:v>29.2964320502189</c:v>
                </c:pt>
                <c:pt idx="52">
                  <c:v>29.330286191824445</c:v>
                </c:pt>
                <c:pt idx="53">
                  <c:v>29.367640789496814</c:v>
                </c:pt>
                <c:pt idx="54">
                  <c:v>29.407623869506608</c:v>
                </c:pt>
                <c:pt idx="55">
                  <c:v>29.449427539554275</c:v>
                </c:pt>
                <c:pt idx="56">
                  <c:v>29.492311779531292</c:v>
                </c:pt>
                <c:pt idx="57">
                  <c:v>29.535606834656306</c:v>
                </c:pt>
                <c:pt idx="58">
                  <c:v>29.578714342598456</c:v>
                </c:pt>
                <c:pt idx="59">
                  <c:v>29.621107328343523</c:v>
                </c:pt>
                <c:pt idx="60">
                  <c:v>29.662329200581503</c:v>
                </c:pt>
                <c:pt idx="61">
                  <c:v>29.701991881546093</c:v>
                </c:pt>
                <c:pt idx="62">
                  <c:v>29.739773198764599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9-471F-A4D8-4654A1F10CCF}"/>
            </c:ext>
          </c:extLst>
        </c:ser>
        <c:ser>
          <c:idx val="1"/>
          <c:order val="1"/>
          <c:tx>
            <c:strRef>
              <c:f>'例題1.12 2次遅れ要素比例積分制御'!$C$11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'例題1.12 2次遅れ要素比例積分制御'!$A$12:$A$74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'例題1.12 2次遅れ要素比例積分制御'!$C$12:$C$74</c:f>
              <c:numCache>
                <c:formatCode>0.0_);[Red]\(0.0\)</c:formatCode>
                <c:ptCount val="63"/>
                <c:pt idx="0">
                  <c:v>20</c:v>
                </c:pt>
                <c:pt idx="1">
                  <c:v>20.061440000000001</c:v>
                </c:pt>
                <c:pt idx="2">
                  <c:v>20.235575345122875</c:v>
                </c:pt>
                <c:pt idx="3">
                  <c:v>20.50731124288955</c:v>
                </c:pt>
                <c:pt idx="4">
                  <c:v>20.861949894519256</c:v>
                </c:pt>
                <c:pt idx="5">
                  <c:v>21.285349618914513</c:v>
                </c:pt>
                <c:pt idx="6">
                  <c:v>21.764057406073039</c:v>
                </c:pt>
                <c:pt idx="7">
                  <c:v>22.285416185595896</c:v>
                </c:pt>
                <c:pt idx="8">
                  <c:v>22.837648297289505</c:v>
                </c:pt>
                <c:pt idx="9">
                  <c:v>23.40991680766226</c:v>
                </c:pt>
                <c:pt idx="10">
                  <c:v>23.992366431459423</c:v>
                </c:pt>
                <c:pt idx="11">
                  <c:v>24.576145894545334</c:v>
                </c:pt>
                <c:pt idx="12">
                  <c:v>25.153413616857776</c:v>
                </c:pt>
                <c:pt idx="13">
                  <c:v>25.717328605334487</c:v>
                </c:pt>
                <c:pt idx="14">
                  <c:v>26.262028430177207</c:v>
                </c:pt>
                <c:pt idx="15">
                  <c:v>26.782596117075574</c:v>
                </c:pt>
                <c:pt idx="16">
                  <c:v>27.275017726487626</c:v>
                </c:pt>
                <c:pt idx="17">
                  <c:v>27.736132312077533</c:v>
                </c:pt>
                <c:pt idx="18">
                  <c:v>28.163575857109539</c:v>
                </c:pt>
                <c:pt idx="19">
                  <c:v>28.555720682981143</c:v>
                </c:pt>
                <c:pt idx="20">
                  <c:v>28.911611710944548</c:v>
                </c:pt>
                <c:pt idx="21">
                  <c:v>29.230900838998441</c:v>
                </c:pt>
                <c:pt idx="22">
                  <c:v>29.51378057329519</c:v>
                </c:pt>
                <c:pt idx="23">
                  <c:v>29.76091792933553</c:v>
                </c:pt>
                <c:pt idx="24">
                  <c:v>29.973389494615589</c:v>
                </c:pt>
                <c:pt idx="25">
                  <c:v>30.152618422921172</c:v>
                </c:pt>
                <c:pt idx="26">
                  <c:v>30.300314012575196</c:v>
                </c:pt>
                <c:pt idx="27">
                  <c:v>30.418414407860006</c:v>
                </c:pt>
                <c:pt idx="28">
                  <c:v>30.509032855568901</c:v>
                </c:pt>
                <c:pt idx="29">
                  <c:v>30.574407848002004</c:v>
                </c:pt>
                <c:pt idx="30">
                  <c:v>30.61685739033377</c:v>
                </c:pt>
                <c:pt idx="31">
                  <c:v>30.638737544591208</c:v>
                </c:pt>
                <c:pt idx="32">
                  <c:v>30.642405324781141</c:v>
                </c:pt>
                <c:pt idx="33">
                  <c:v>30.630185948133953</c:v>
                </c:pt>
                <c:pt idx="34">
                  <c:v>30.604344386002222</c:v>
                </c:pt>
                <c:pt idx="35">
                  <c:v>30.567061104562342</c:v>
                </c:pt>
                <c:pt idx="36">
                  <c:v>30.52041183991259</c:v>
                </c:pt>
                <c:pt idx="37">
                  <c:v>30.466351214153327</c:v>
                </c:pt>
                <c:pt idx="38">
                  <c:v>30.406699968214287</c:v>
                </c:pt>
                <c:pt idx="39">
                  <c:v>30.343135563142404</c:v>
                </c:pt>
                <c:pt idx="40">
                  <c:v>30.277185883818138</c:v>
                </c:pt>
                <c:pt idx="41">
                  <c:v>30.210225767132535</c:v>
                </c:pt>
                <c:pt idx="42">
                  <c:v>30.143476070012195</c:v>
                </c:pt>
                <c:pt idx="43">
                  <c:v>30.078004990793232</c:v>
                </c:pt>
                <c:pt idx="44">
                  <c:v>30.014731359783035</c:v>
                </c:pt>
                <c:pt idx="45">
                  <c:v>29.954429620878848</c:v>
                </c:pt>
                <c:pt idx="46">
                  <c:v>29.897736235315001</c:v>
                </c:pt>
                <c:pt idx="47">
                  <c:v>29.84515725048297</c:v>
                </c:pt>
                <c:pt idx="48">
                  <c:v>29.797076790829614</c:v>
                </c:pt>
                <c:pt idx="49">
                  <c:v>29.753766243634065</c:v>
                </c:pt>
                <c:pt idx="50">
                  <c:v>29.715393929567746</c:v>
                </c:pt>
                <c:pt idx="51">
                  <c:v>29.682035065961447</c:v>
                </c:pt>
                <c:pt idx="52">
                  <c:v>29.653681849278644</c:v>
                </c:pt>
                <c:pt idx="53">
                  <c:v>29.630253502100363</c:v>
                </c:pt>
                <c:pt idx="54">
                  <c:v>29.611606148673818</c:v>
                </c:pt>
                <c:pt idx="55">
                  <c:v>29.597542401510243</c:v>
                </c:pt>
                <c:pt idx="56">
                  <c:v>29.587820559416123</c:v>
                </c:pt>
                <c:pt idx="57">
                  <c:v>29.582163334519738</c:v>
                </c:pt>
                <c:pt idx="58">
                  <c:v>29.580266042156676</c:v>
                </c:pt>
                <c:pt idx="59">
                  <c:v>29.581804202779509</c:v>
                </c:pt>
                <c:pt idx="60">
                  <c:v>29.586440519262453</c:v>
                </c:pt>
                <c:pt idx="61">
                  <c:v>29.59383120601272</c:v>
                </c:pt>
                <c:pt idx="62">
                  <c:v>29.603631658131398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29-471F-A4D8-4654A1F10CCF}"/>
            </c:ext>
          </c:extLst>
        </c:ser>
        <c:ser>
          <c:idx val="2"/>
          <c:order val="2"/>
          <c:tx>
            <c:strRef>
              <c:f>'例題1.12 2次遅れ要素比例積分制御'!$D$11</c:f>
              <c:strCache>
                <c:ptCount val="1"/>
                <c:pt idx="0">
                  <c:v>q</c:v>
                </c:pt>
              </c:strCache>
            </c:strRef>
          </c:tx>
          <c:spPr>
            <a:ln w="952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'例題1.12 2次遅れ要素比例積分制御'!$A$12:$A$74</c:f>
              <c:numCache>
                <c:formatCode>General</c:formatCode>
                <c:ptCount val="63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204</c:v>
                </c:pt>
                <c:pt idx="52">
                  <c:v>208</c:v>
                </c:pt>
                <c:pt idx="53">
                  <c:v>212</c:v>
                </c:pt>
                <c:pt idx="54">
                  <c:v>216</c:v>
                </c:pt>
                <c:pt idx="55">
                  <c:v>220</c:v>
                </c:pt>
                <c:pt idx="56">
                  <c:v>224</c:v>
                </c:pt>
                <c:pt idx="57">
                  <c:v>228</c:v>
                </c:pt>
                <c:pt idx="58">
                  <c:v>232</c:v>
                </c:pt>
                <c:pt idx="59">
                  <c:v>236</c:v>
                </c:pt>
                <c:pt idx="60">
                  <c:v>240</c:v>
                </c:pt>
                <c:pt idx="61">
                  <c:v>244</c:v>
                </c:pt>
                <c:pt idx="62">
                  <c:v>248</c:v>
                </c:pt>
              </c:numCache>
            </c:numRef>
          </c:xVal>
          <c:yVal>
            <c:numRef>
              <c:f>'例題1.12 2次遅れ要素比例積分制御'!$D$12:$D$74</c:f>
              <c:numCache>
                <c:formatCode>0.0_);[Red]\(0.0\)</c:formatCode>
                <c:ptCount val="63"/>
                <c:pt idx="0">
                  <c:v>40</c:v>
                </c:pt>
                <c:pt idx="1">
                  <c:v>40.675464533333333</c:v>
                </c:pt>
                <c:pt idx="2">
                  <c:v>41.116013934120502</c:v>
                </c:pt>
                <c:pt idx="3">
                  <c:v>41.343427990831046</c:v>
                </c:pt>
                <c:pt idx="4">
                  <c:v>41.37988536036486</c:v>
                </c:pt>
                <c:pt idx="5">
                  <c:v>41.24760701490937</c:v>
                </c:pt>
                <c:pt idx="6">
                  <c:v>40.968541170615133</c:v>
                </c:pt>
                <c:pt idx="7">
                  <c:v>40.564089202468459</c:v>
                </c:pt>
                <c:pt idx="8">
                  <c:v>40.054871535870113</c:v>
                </c:pt>
                <c:pt idx="9">
                  <c:v>39.460532066304417</c:v>
                </c:pt>
                <c:pt idx="10">
                  <c:v>38.799579291413735</c:v>
                </c:pt>
                <c:pt idx="11">
                  <c:v>38.089262041401497</c:v>
                </c:pt>
                <c:pt idx="12">
                  <c:v>37.345477460033941</c:v>
                </c:pt>
                <c:pt idx="13">
                  <c:v>36.582708715218999</c:v>
                </c:pt>
                <c:pt idx="14">
                  <c:v>35.813989800506356</c:v>
                </c:pt>
                <c:pt idx="15">
                  <c:v>35.050894721949398</c:v>
                </c:pt>
                <c:pt idx="16">
                  <c:v>34.30354834354484</c:v>
                </c:pt>
                <c:pt idx="17">
                  <c:v>33.580656183824168</c:v>
                </c:pt>
                <c:pt idx="18">
                  <c:v>32.889550511053244</c:v>
                </c:pt>
                <c:pt idx="19">
                  <c:v>32.23625016994297</c:v>
                </c:pt>
                <c:pt idx="20">
                  <c:v>31.625531683984576</c:v>
                </c:pt>
                <c:pt idx="21">
                  <c:v>31.061009309904286</c:v>
                </c:pt>
                <c:pt idx="22">
                  <c:v>30.545221869936352</c:v>
                </c:pt>
                <c:pt idx="23">
                  <c:v>30.079724349571812</c:v>
                </c:pt>
                <c:pt idx="24">
                  <c:v>29.665182419385928</c:v>
                </c:pt>
                <c:pt idx="25">
                  <c:v>29.301468216032074</c:v>
                </c:pt>
                <c:pt idx="26">
                  <c:v>28.987755896395825</c:v>
                </c:pt>
                <c:pt idx="27">
                  <c:v>28.722615657445758</c:v>
                </c:pt>
                <c:pt idx="28">
                  <c:v>28.504105090046874</c:v>
                </c:pt>
                <c:pt idx="29">
                  <c:v>28.329856905796451</c:v>
                </c:pt>
                <c:pt idx="30">
                  <c:v>28.197162239998068</c:v>
                </c:pt>
                <c:pt idx="31">
                  <c:v>28.103048889711712</c:v>
                </c:pt>
                <c:pt idx="32">
                  <c:v>28.044353992201998</c:v>
                </c:pt>
                <c:pt idx="33">
                  <c:v>28.017790785122504</c:v>
                </c:pt>
                <c:pt idx="34">
                  <c:v>28.020009214745922</c:v>
                </c:pt>
                <c:pt idx="35">
                  <c:v>28.047650272035881</c:v>
                </c:pt>
                <c:pt idx="36">
                  <c:v>28.097394038127231</c:v>
                </c:pt>
                <c:pt idx="37">
                  <c:v>28.166001510799145</c:v>
                </c:pt>
                <c:pt idx="38">
                  <c:v>28.250350361919228</c:v>
                </c:pt>
                <c:pt idx="39">
                  <c:v>28.347464842884492</c:v>
                </c:pt>
                <c:pt idx="40">
                  <c:v>28.454540111189033</c:v>
                </c:pt>
                <c:pt idx="41">
                  <c:v>28.568961296916719</c:v>
                </c:pt>
                <c:pt idx="42">
                  <c:v>28.688317663784087</c:v>
                </c:pt>
                <c:pt idx="43">
                  <c:v>28.810412246005207</c:v>
                </c:pt>
                <c:pt idx="44">
                  <c:v>28.933267360427564</c:v>
                </c:pt>
                <c:pt idx="45">
                  <c:v>29.055126403842252</c:v>
                </c:pt>
                <c:pt idx="46">
                  <c:v>29.174452348867874</c:v>
                </c:pt>
                <c:pt idx="47">
                  <c:v>29.289923349118421</c:v>
                </c:pt>
                <c:pt idx="48">
                  <c:v>29.400425856258153</c:v>
                </c:pt>
                <c:pt idx="49">
                  <c:v>29.505045638774124</c:v>
                </c:pt>
                <c:pt idx="50">
                  <c:v>29.603057075588225</c:v>
                </c:pt>
                <c:pt idx="51">
                  <c:v>29.693911077683403</c:v>
                </c:pt>
                <c:pt idx="52">
                  <c:v>29.777221968393892</c:v>
                </c:pt>
                <c:pt idx="53">
                  <c:v>29.85275362852553</c:v>
                </c:pt>
                <c:pt idx="54">
                  <c:v>29.920405186602618</c:v>
                </c:pt>
                <c:pt idx="55">
                  <c:v>29.980196507807282</c:v>
                </c:pt>
                <c:pt idx="56">
                  <c:v>30.03225370806053</c:v>
                </c:pt>
                <c:pt idx="57">
                  <c:v>30.076794892615748</c:v>
                </c:pt>
                <c:pt idx="58">
                  <c:v>30.114116291868491</c:v>
                </c:pt>
                <c:pt idx="59">
                  <c:v>30.144578941155313</c:v>
                </c:pt>
                <c:pt idx="60">
                  <c:v>30.16859602639396</c:v>
                </c:pt>
                <c:pt idx="61">
                  <c:v>30.186620993736479</c:v>
                </c:pt>
                <c:pt idx="62">
                  <c:v>30.199136499149983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9-471F-A4D8-4654A1F10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045391"/>
        <c:axId val="1"/>
      </c:scatterChart>
      <c:valAx>
        <c:axId val="2020045391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</a:t>
                </a:r>
              </a:p>
            </c:rich>
          </c:tx>
          <c:layout>
            <c:manualLayout>
              <c:xMode val="edge"/>
              <c:yMode val="edge"/>
              <c:x val="0.52103729752227568"/>
              <c:y val="0.896107532013043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50"/>
        <c:minorUnit val="25"/>
      </c:valAx>
      <c:valAx>
        <c:axId val="1"/>
        <c:scaling>
          <c:orientation val="minMax"/>
          <c:max val="50"/>
          <c:min val="10"/>
        </c:scaling>
        <c:delete val="0"/>
        <c:axPos val="l"/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020045391"/>
        <c:crosses val="autoZero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111318</xdr:colOff>
          <xdr:row>5</xdr:row>
          <xdr:rowOff>111318</xdr:rowOff>
        </xdr:from>
        <xdr:to>
          <xdr:col>3</xdr:col>
          <xdr:colOff>461176</xdr:colOff>
          <xdr:row>7</xdr:row>
          <xdr:rowOff>103367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23852</xdr:colOff>
      <xdr:row>9</xdr:row>
      <xdr:rowOff>111318</xdr:rowOff>
    </xdr:from>
    <xdr:to>
      <xdr:col>11</xdr:col>
      <xdr:colOff>222635</xdr:colOff>
      <xdr:row>24</xdr:row>
      <xdr:rowOff>0</xdr:rowOff>
    </xdr:to>
    <xdr:graphicFrame macro="">
      <xdr:nvGraphicFramePr>
        <xdr:cNvPr id="1050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111318</xdr:colOff>
      <xdr:row>0</xdr:row>
      <xdr:rowOff>7951</xdr:rowOff>
    </xdr:from>
    <xdr:to>
      <xdr:col>12</xdr:col>
      <xdr:colOff>230587</xdr:colOff>
      <xdr:row>8</xdr:row>
      <xdr:rowOff>122478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6626" y="7951"/>
          <a:ext cx="3458817" cy="135493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0.70571</cdr:x>
      <cdr:y>0.20899</cdr:y>
    </cdr:from>
    <cdr:to>
      <cdr:x>0.73949</cdr:x>
      <cdr:y>0.29223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25685" y="453656"/>
          <a:ext cx="96950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</a:p>
      </cdr:txBody>
    </cdr:sp>
  </cdr:relSizeAnchor>
  <cdr:relSizeAnchor xmlns:cdr="http://schemas.openxmlformats.org/drawingml/2006/chartDrawing">
    <cdr:from>
      <cdr:x>0.35118</cdr:x>
      <cdr:y>0.12735</cdr:y>
    </cdr:from>
    <cdr:to>
      <cdr:x>0.38764</cdr:x>
      <cdr:y>0.21059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08047" y="276447"/>
          <a:ext cx="104644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1" u="none" strike="noStrike" baseline="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0.25719</cdr:x>
      <cdr:y>0.20851</cdr:y>
    </cdr:from>
    <cdr:to>
      <cdr:x>0.33823</cdr:x>
      <cdr:y>0.28123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761929" y="459841"/>
          <a:ext cx="237120" cy="1573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0.46905</cdr:x>
      <cdr:y>0.20707</cdr:y>
    </cdr:from>
    <cdr:to>
      <cdr:x>0.52105</cdr:x>
      <cdr:y>0.29031</cdr:y>
    </cdr:to>
    <cdr:sp macro="" textlink="">
      <cdr:nvSpPr>
        <cdr:cNvPr id="10244" name="Text Box 307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46371" y="449488"/>
          <a:ext cx="149272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0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1</a:t>
          </a:r>
        </a:p>
      </cdr:txBody>
    </cdr:sp>
  </cdr:relSizeAnchor>
  <cdr:relSizeAnchor xmlns:cdr="http://schemas.openxmlformats.org/drawingml/2006/chartDrawing">
    <cdr:from>
      <cdr:x>0.4037</cdr:x>
      <cdr:y>0.31217</cdr:y>
    </cdr:from>
    <cdr:to>
      <cdr:x>0.47201</cdr:x>
      <cdr:y>0.38754</cdr:y>
    </cdr:to>
    <cdr:sp macro="" textlink="">
      <cdr:nvSpPr>
        <cdr:cNvPr id="10245" name="Line 307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191015" y="685801"/>
          <a:ext cx="199635" cy="16322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0.63066</cdr:x>
      <cdr:y>0.30784</cdr:y>
    </cdr:from>
    <cdr:to>
      <cdr:x>0.72516</cdr:x>
      <cdr:y>0.44044</cdr:y>
    </cdr:to>
    <cdr:sp macro="" textlink="">
      <cdr:nvSpPr>
        <cdr:cNvPr id="10246" name="Line 307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856869" y="676275"/>
          <a:ext cx="276732" cy="28704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0.19502</cdr:x>
      <cdr:y>0.45427</cdr:y>
    </cdr:from>
    <cdr:to>
      <cdr:x>0.32914</cdr:x>
      <cdr:y>0.68175</cdr:y>
    </cdr:to>
    <cdr:sp macro="" textlink="">
      <cdr:nvSpPr>
        <cdr:cNvPr id="10247" name="Line 307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579655" y="993224"/>
          <a:ext cx="391894" cy="49267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0.1267</cdr:x>
      <cdr:y>0.45427</cdr:y>
    </cdr:from>
    <cdr:to>
      <cdr:x>0.19178</cdr:x>
      <cdr:y>0.45427</cdr:y>
    </cdr:to>
    <cdr:sp macro="" textlink="">
      <cdr:nvSpPr>
        <cdr:cNvPr id="10248" name="Line 308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380008" y="993224"/>
          <a:ext cx="19012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none" w="lg" len="lg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0.32921</cdr:x>
      <cdr:y>0.63649</cdr:y>
    </cdr:from>
    <cdr:to>
      <cdr:x>0.40672</cdr:x>
      <cdr:y>0.71973</cdr:y>
    </cdr:to>
    <cdr:sp macro="" textlink="">
      <cdr:nvSpPr>
        <cdr:cNvPr id="10249" name="Text Box 308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44958" y="1381631"/>
          <a:ext cx="222497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1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set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3"/>
  <sheetViews>
    <sheetView tabSelected="1" workbookViewId="0">
      <selection activeCell="I42" sqref="I42"/>
    </sheetView>
  </sheetViews>
  <sheetFormatPr defaultColWidth="12" defaultRowHeight="11.9" x14ac:dyDescent="0.15"/>
  <cols>
    <col min="1" max="1" width="15.140625" style="3" customWidth="1"/>
    <col min="2" max="2" width="11.140625" style="1" customWidth="1"/>
    <col min="3" max="3" width="11.7109375" style="1" customWidth="1"/>
    <col min="4" max="4" width="10.7109375" style="1" customWidth="1"/>
    <col min="5" max="5" width="3" style="1" customWidth="1"/>
    <col min="6" max="6" width="8.140625" style="1" customWidth="1"/>
    <col min="7" max="7" width="6.7109375" style="1" customWidth="1"/>
    <col min="8" max="16384" width="12" style="1"/>
  </cols>
  <sheetData>
    <row r="1" spans="1:9" ht="12.55" thickBot="1" x14ac:dyDescent="0.2">
      <c r="A1" s="3" t="s">
        <v>1</v>
      </c>
      <c r="B1" s="9">
        <v>3</v>
      </c>
      <c r="F1" s="1" t="s">
        <v>2</v>
      </c>
    </row>
    <row r="2" spans="1:9" x14ac:dyDescent="0.15">
      <c r="A2" s="3" t="s">
        <v>9</v>
      </c>
      <c r="B2" s="1" t="s">
        <v>10</v>
      </c>
      <c r="C2" s="1" t="s">
        <v>11</v>
      </c>
      <c r="D2" s="1" t="s">
        <v>12</v>
      </c>
      <c r="F2" s="11" t="s">
        <v>20</v>
      </c>
      <c r="G2" s="13">
        <v>50</v>
      </c>
      <c r="I2" s="24"/>
    </row>
    <row r="3" spans="1:9" x14ac:dyDescent="0.15">
      <c r="A3" s="3">
        <v>248</v>
      </c>
      <c r="B3" s="1">
        <v>29.739746420747075</v>
      </c>
      <c r="C3" s="1">
        <v>29.603602839039134</v>
      </c>
      <c r="D3" s="1">
        <v>30.199176929081034</v>
      </c>
      <c r="F3" s="11" t="s">
        <v>24</v>
      </c>
      <c r="G3" s="13">
        <v>1</v>
      </c>
    </row>
    <row r="4" spans="1:9" ht="12.55" thickBot="1" x14ac:dyDescent="0.2">
      <c r="B4" s="15" t="s">
        <v>13</v>
      </c>
      <c r="C4" s="15" t="s">
        <v>14</v>
      </c>
      <c r="D4" s="15" t="s">
        <v>15</v>
      </c>
      <c r="E4" s="15"/>
      <c r="F4" s="11" t="s">
        <v>5</v>
      </c>
      <c r="G4" s="1">
        <v>50</v>
      </c>
    </row>
    <row r="5" spans="1:9" ht="12.55" thickBot="1" x14ac:dyDescent="0.2">
      <c r="A5" s="3" t="s">
        <v>3</v>
      </c>
      <c r="B5" s="12">
        <f>(1/G2)*D3-(1/G2/G3)*B3</f>
        <v>9.1886101666791564E-3</v>
      </c>
      <c r="C5" s="14">
        <f>(1/G4/G3)*B3-(1/G4/G6)*C3</f>
        <v>2.7228716341588521E-3</v>
      </c>
      <c r="D5" s="14">
        <f>-G9*C5+(G9/G10)*(G8-C3)</f>
        <v>2.4821999508996221E-3</v>
      </c>
      <c r="E5" s="8"/>
    </row>
    <row r="6" spans="1:9" ht="12.55" thickBot="1" x14ac:dyDescent="0.2">
      <c r="F6" s="11" t="s">
        <v>24</v>
      </c>
      <c r="G6" s="1">
        <v>1</v>
      </c>
    </row>
    <row r="7" spans="1:9" x14ac:dyDescent="0.15">
      <c r="A7" s="3" t="s">
        <v>21</v>
      </c>
      <c r="B7" s="5">
        <v>0</v>
      </c>
      <c r="F7" s="11" t="s">
        <v>23</v>
      </c>
      <c r="G7" s="13">
        <v>20</v>
      </c>
    </row>
    <row r="8" spans="1:9" x14ac:dyDescent="0.15">
      <c r="A8" s="4" t="s">
        <v>0</v>
      </c>
      <c r="B8" s="6">
        <v>250</v>
      </c>
      <c r="F8" s="11" t="s">
        <v>6</v>
      </c>
      <c r="G8" s="1">
        <v>30</v>
      </c>
    </row>
    <row r="9" spans="1:9" ht="12.55" thickBot="1" x14ac:dyDescent="0.2">
      <c r="A9" s="3" t="s">
        <v>22</v>
      </c>
      <c r="B9" s="7">
        <v>4</v>
      </c>
      <c r="F9" s="11" t="s">
        <v>7</v>
      </c>
      <c r="G9" s="13">
        <v>2</v>
      </c>
    </row>
    <row r="10" spans="1:9" x14ac:dyDescent="0.15">
      <c r="A10" s="3" t="s">
        <v>4</v>
      </c>
      <c r="F10" s="11" t="s">
        <v>8</v>
      </c>
      <c r="G10" s="1">
        <v>100</v>
      </c>
    </row>
    <row r="11" spans="1:9" ht="12.55" thickBot="1" x14ac:dyDescent="0.2">
      <c r="A11" s="3" t="s">
        <v>16</v>
      </c>
      <c r="B11" s="19" t="s">
        <v>17</v>
      </c>
      <c r="C11" s="19" t="s">
        <v>18</v>
      </c>
      <c r="D11" s="19" t="s">
        <v>19</v>
      </c>
      <c r="E11" s="19"/>
      <c r="F11" s="11"/>
    </row>
    <row r="12" spans="1:9" ht="12.55" thickBot="1" x14ac:dyDescent="0.2">
      <c r="A12" s="13">
        <v>0</v>
      </c>
      <c r="B12" s="21">
        <v>20</v>
      </c>
      <c r="C12" s="23">
        <v>20</v>
      </c>
      <c r="D12" s="23">
        <v>40</v>
      </c>
      <c r="E12" s="16"/>
      <c r="F12" s="11"/>
    </row>
    <row r="13" spans="1:9" x14ac:dyDescent="0.15">
      <c r="A13" s="13">
        <v>4</v>
      </c>
      <c r="B13" s="22">
        <v>21.565559466666667</v>
      </c>
      <c r="C13" s="22">
        <v>20.061440000000001</v>
      </c>
      <c r="D13" s="22">
        <v>40.675464533333333</v>
      </c>
      <c r="E13" s="17"/>
      <c r="F13" s="20"/>
    </row>
    <row r="14" spans="1:9" x14ac:dyDescent="0.15">
      <c r="A14" s="13">
        <v>8</v>
      </c>
      <c r="B14" s="22">
        <v>23.053396950573966</v>
      </c>
      <c r="C14" s="22">
        <v>20.235575345122875</v>
      </c>
      <c r="D14" s="22">
        <v>41.116013934120502</v>
      </c>
      <c r="E14" s="17"/>
      <c r="F14" s="20"/>
    </row>
    <row r="15" spans="1:9" x14ac:dyDescent="0.15">
      <c r="A15" s="13">
        <v>12</v>
      </c>
      <c r="B15" s="22">
        <v>24.452271466489439</v>
      </c>
      <c r="C15" s="22">
        <v>20.50731124288955</v>
      </c>
      <c r="D15" s="22">
        <v>41.343427990831046</v>
      </c>
      <c r="E15" s="17"/>
      <c r="F15" s="20"/>
    </row>
    <row r="16" spans="1:9" x14ac:dyDescent="0.15">
      <c r="A16" s="13">
        <v>16</v>
      </c>
      <c r="B16" s="22">
        <v>25.753498743943538</v>
      </c>
      <c r="C16" s="22">
        <v>20.861949894519256</v>
      </c>
      <c r="D16" s="22">
        <v>41.37988536036486</v>
      </c>
      <c r="E16" s="17"/>
      <c r="F16" s="20"/>
    </row>
    <row r="17" spans="1:7" x14ac:dyDescent="0.15">
      <c r="A17" s="13">
        <v>20</v>
      </c>
      <c r="B17" s="22">
        <v>26.950771168884891</v>
      </c>
      <c r="C17" s="22">
        <v>21.285349618914513</v>
      </c>
      <c r="D17" s="22">
        <v>41.24760701490937</v>
      </c>
      <c r="E17" s="17"/>
      <c r="F17" s="20"/>
    </row>
    <row r="18" spans="1:7" x14ac:dyDescent="0.15">
      <c r="A18" s="13">
        <v>24</v>
      </c>
      <c r="B18" s="22">
        <v>28.039965772980704</v>
      </c>
      <c r="C18" s="22">
        <v>21.764057406073039</v>
      </c>
      <c r="D18" s="22">
        <v>40.968541170615133</v>
      </c>
      <c r="E18" s="17"/>
      <c r="F18" s="20"/>
    </row>
    <row r="19" spans="1:7" x14ac:dyDescent="0.15">
      <c r="A19" s="13">
        <v>28</v>
      </c>
      <c r="B19" s="22">
        <v>29.018944363010721</v>
      </c>
      <c r="C19" s="22">
        <v>22.285416185595896</v>
      </c>
      <c r="D19" s="22">
        <v>40.564089202468459</v>
      </c>
      <c r="E19" s="17"/>
      <c r="F19" s="2"/>
    </row>
    <row r="20" spans="1:7" x14ac:dyDescent="0.15">
      <c r="A20" s="13">
        <v>32</v>
      </c>
      <c r="B20" s="22">
        <v>29.887349509552397</v>
      </c>
      <c r="C20" s="22">
        <v>22.837648297289505</v>
      </c>
      <c r="D20" s="22">
        <v>40.054871535870113</v>
      </c>
      <c r="E20" s="17"/>
      <c r="F20" s="2"/>
    </row>
    <row r="21" spans="1:7" x14ac:dyDescent="0.15">
      <c r="A21" s="13">
        <v>36</v>
      </c>
      <c r="B21" s="22">
        <v>30.646399733019379</v>
      </c>
      <c r="C21" s="22">
        <v>23.40991680766226</v>
      </c>
      <c r="D21" s="22">
        <v>39.460532066304417</v>
      </c>
      <c r="E21" s="17"/>
      <c r="F21" s="2"/>
    </row>
    <row r="22" spans="1:7" x14ac:dyDescent="0.15">
      <c r="A22" s="13">
        <v>40</v>
      </c>
      <c r="B22" s="22">
        <v>31.298686842347649</v>
      </c>
      <c r="C22" s="22">
        <v>23.992366431459423</v>
      </c>
      <c r="D22" s="22">
        <v>38.799579291413735</v>
      </c>
      <c r="E22" s="17"/>
      <c r="F22" s="2"/>
    </row>
    <row r="23" spans="1:7" x14ac:dyDescent="0.15">
      <c r="A23" s="13">
        <v>44</v>
      </c>
      <c r="B23" s="22">
        <v>31.847978002761749</v>
      </c>
      <c r="C23" s="22">
        <v>24.576145894545334</v>
      </c>
      <c r="D23" s="22">
        <v>38.089262041401497</v>
      </c>
      <c r="E23" s="17"/>
      <c r="F23" s="2"/>
    </row>
    <row r="24" spans="1:7" x14ac:dyDescent="0.15">
      <c r="A24" s="13">
        <v>48</v>
      </c>
      <c r="B24" s="22">
        <v>32.299024738926924</v>
      </c>
      <c r="C24" s="22">
        <v>25.153413616857776</v>
      </c>
      <c r="D24" s="22">
        <v>37.345477460033941</v>
      </c>
      <c r="E24" s="17"/>
      <c r="F24" s="2"/>
    </row>
    <row r="25" spans="1:7" x14ac:dyDescent="0.15">
      <c r="A25" s="13">
        <v>52</v>
      </c>
      <c r="B25" s="22">
        <v>32.657380722539592</v>
      </c>
      <c r="C25" s="22">
        <v>25.717328605334487</v>
      </c>
      <c r="D25" s="22">
        <v>36.582708715218999</v>
      </c>
      <c r="E25" s="17"/>
      <c r="F25" s="2"/>
    </row>
    <row r="26" spans="1:7" x14ac:dyDescent="0.15">
      <c r="A26" s="13">
        <v>56</v>
      </c>
      <c r="B26" s="22">
        <v>32.92922985249772</v>
      </c>
      <c r="C26" s="22">
        <v>26.262028430177207</v>
      </c>
      <c r="D26" s="22">
        <v>35.813989800506356</v>
      </c>
      <c r="E26" s="17"/>
      <c r="F26" s="2"/>
    </row>
    <row r="27" spans="1:7" x14ac:dyDescent="0.15">
      <c r="A27" s="13">
        <v>60</v>
      </c>
      <c r="B27" s="22">
        <v>33.121225814056388</v>
      </c>
      <c r="C27" s="22">
        <v>26.782596117075574</v>
      </c>
      <c r="D27" s="22">
        <v>35.050894721949398</v>
      </c>
      <c r="E27" s="17"/>
      <c r="F27" s="2"/>
      <c r="G27"/>
    </row>
    <row r="28" spans="1:7" x14ac:dyDescent="0.15">
      <c r="A28" s="13">
        <v>64</v>
      </c>
      <c r="B28" s="22">
        <v>33.240344003041983</v>
      </c>
      <c r="C28" s="22">
        <v>27.275017726487626</v>
      </c>
      <c r="D28" s="22">
        <v>34.30354834354484</v>
      </c>
      <c r="E28" s="17"/>
      <c r="F28" s="2"/>
    </row>
    <row r="29" spans="1:7" x14ac:dyDescent="0.15">
      <c r="A29" s="13">
        <v>68</v>
      </c>
      <c r="B29" s="22">
        <v>33.293746423938849</v>
      </c>
      <c r="C29" s="22">
        <v>27.736132312077533</v>
      </c>
      <c r="D29" s="22">
        <v>33.580656183824168</v>
      </c>
      <c r="E29" s="17"/>
      <c r="F29" s="2"/>
    </row>
    <row r="30" spans="1:7" x14ac:dyDescent="0.15">
      <c r="A30" s="13">
        <v>72</v>
      </c>
      <c r="B30" s="22">
        <v>33.288659917623676</v>
      </c>
      <c r="C30" s="22">
        <v>28.163575857109539</v>
      </c>
      <c r="D30" s="22">
        <v>32.889550511053244</v>
      </c>
      <c r="E30" s="17"/>
      <c r="F30" s="2"/>
    </row>
    <row r="31" spans="1:7" x14ac:dyDescent="0.15">
      <c r="A31" s="13">
        <v>76</v>
      </c>
      <c r="B31" s="22">
        <v>33.232267846380267</v>
      </c>
      <c r="C31" s="22">
        <v>28.555720682981143</v>
      </c>
      <c r="D31" s="22">
        <v>32.23625016994297</v>
      </c>
      <c r="E31" s="17"/>
      <c r="F31" s="2"/>
    </row>
    <row r="32" spans="1:7" x14ac:dyDescent="0.15">
      <c r="A32" s="13">
        <v>80</v>
      </c>
      <c r="B32" s="22">
        <v>33.131615160828382</v>
      </c>
      <c r="C32" s="22">
        <v>28.911611710944548</v>
      </c>
      <c r="D32" s="22">
        <v>31.625531683984576</v>
      </c>
      <c r="E32" s="17"/>
      <c r="F32" s="2"/>
    </row>
    <row r="33" spans="1:6" x14ac:dyDescent="0.15">
      <c r="A33" s="13">
        <v>84</v>
      </c>
      <c r="B33" s="22">
        <v>32.993526595412476</v>
      </c>
      <c r="C33" s="22">
        <v>29.230900838998441</v>
      </c>
      <c r="D33" s="22">
        <v>31.061009309904286</v>
      </c>
      <c r="E33" s="17"/>
      <c r="F33" s="2"/>
    </row>
    <row r="34" spans="1:6" x14ac:dyDescent="0.15">
      <c r="A34" s="13">
        <v>88</v>
      </c>
      <c r="B34" s="22">
        <v>32.824537585652628</v>
      </c>
      <c r="C34" s="22">
        <v>29.51378057329519</v>
      </c>
      <c r="D34" s="22">
        <v>30.545221869936352</v>
      </c>
      <c r="E34" s="10"/>
    </row>
    <row r="35" spans="1:6" x14ac:dyDescent="0.15">
      <c r="A35" s="13">
        <v>92</v>
      </c>
      <c r="B35" s="22">
        <v>32.630837370707368</v>
      </c>
      <c r="C35" s="22">
        <v>29.76091792933553</v>
      </c>
      <c r="D35" s="22">
        <v>30.079724349571812</v>
      </c>
      <c r="E35" s="10"/>
    </row>
    <row r="36" spans="1:6" x14ac:dyDescent="0.15">
      <c r="A36" s="13">
        <v>96</v>
      </c>
      <c r="B36" s="22">
        <v>32.418223637938645</v>
      </c>
      <c r="C36" s="22">
        <v>29.973389494615589</v>
      </c>
      <c r="D36" s="22">
        <v>29.665182419385928</v>
      </c>
      <c r="E36" s="10"/>
    </row>
    <row r="37" spans="1:6" x14ac:dyDescent="0.15">
      <c r="A37" s="13">
        <v>100</v>
      </c>
      <c r="B37" s="22">
        <v>32.192067980905328</v>
      </c>
      <c r="C37" s="22">
        <v>30.152618422921172</v>
      </c>
      <c r="D37" s="22">
        <v>29.301468216032074</v>
      </c>
      <c r="E37" s="10"/>
    </row>
    <row r="38" spans="1:6" x14ac:dyDescent="0.15">
      <c r="A38" s="13">
        <v>104</v>
      </c>
      <c r="B38" s="22">
        <v>31.9572913771852</v>
      </c>
      <c r="C38" s="22">
        <v>30.300314012575196</v>
      </c>
      <c r="D38" s="22">
        <v>28.987755896395825</v>
      </c>
      <c r="E38" s="10"/>
    </row>
    <row r="39" spans="1:6" x14ac:dyDescent="0.15">
      <c r="A39" s="13">
        <v>108</v>
      </c>
      <c r="B39" s="22">
        <v>31.718348846155973</v>
      </c>
      <c r="C39" s="22">
        <v>30.418414407860006</v>
      </c>
      <c r="D39" s="22">
        <v>28.722615657445758</v>
      </c>
      <c r="E39" s="10"/>
    </row>
    <row r="40" spans="1:6" x14ac:dyDescent="0.15">
      <c r="A40" s="13">
        <v>112</v>
      </c>
      <c r="B40" s="22">
        <v>31.479222417785913</v>
      </c>
      <c r="C40" s="22">
        <v>30.509032855568901</v>
      </c>
      <c r="D40" s="22">
        <v>28.504105090046874</v>
      </c>
      <c r="E40" s="10"/>
    </row>
    <row r="41" spans="1:6" x14ac:dyDescent="0.15">
      <c r="A41" s="13">
        <v>116</v>
      </c>
      <c r="B41" s="22">
        <v>31.243421529971563</v>
      </c>
      <c r="C41" s="22">
        <v>30.574407848002004</v>
      </c>
      <c r="D41" s="22">
        <v>28.329856905796451</v>
      </c>
      <c r="E41" s="10"/>
    </row>
    <row r="42" spans="1:6" x14ac:dyDescent="0.15">
      <c r="A42" s="13">
        <v>120</v>
      </c>
      <c r="B42" s="22">
        <v>31.013989972365138</v>
      </c>
      <c r="C42" s="22">
        <v>30.61685739033377</v>
      </c>
      <c r="D42" s="22">
        <v>28.197162239998068</v>
      </c>
      <c r="E42" s="10"/>
    </row>
    <row r="43" spans="1:6" x14ac:dyDescent="0.15">
      <c r="A43" s="13">
        <v>124</v>
      </c>
      <c r="B43" s="22">
        <v>30.793518507309376</v>
      </c>
      <c r="C43" s="22">
        <v>30.638737544591208</v>
      </c>
      <c r="D43" s="22">
        <v>28.103048889711712</v>
      </c>
      <c r="E43" s="10"/>
    </row>
    <row r="44" spans="1:6" x14ac:dyDescent="0.15">
      <c r="A44" s="13">
        <v>128</v>
      </c>
      <c r="B44" s="22">
        <v>30.584162321817569</v>
      </c>
      <c r="C44" s="22">
        <v>30.642405324781141</v>
      </c>
      <c r="D44" s="22">
        <v>28.044353992201998</v>
      </c>
      <c r="E44" s="10"/>
    </row>
    <row r="45" spans="1:6" x14ac:dyDescent="0.15">
      <c r="A45" s="13">
        <v>132</v>
      </c>
      <c r="B45" s="22">
        <v>30.3876624969194</v>
      </c>
      <c r="C45" s="22">
        <v>30.630185948133953</v>
      </c>
      <c r="D45" s="22">
        <v>28.017790785122504</v>
      </c>
      <c r="E45" s="10"/>
    </row>
    <row r="46" spans="1:6" x14ac:dyDescent="0.15">
      <c r="A46" s="13">
        <v>136</v>
      </c>
      <c r="B46" s="22">
        <v>30.205370720617079</v>
      </c>
      <c r="C46" s="22">
        <v>30.604344386002222</v>
      </c>
      <c r="D46" s="22">
        <v>28.020009214745922</v>
      </c>
      <c r="E46" s="10"/>
    </row>
    <row r="47" spans="1:6" x14ac:dyDescent="0.15">
      <c r="A47" s="13">
        <v>140</v>
      </c>
      <c r="B47" s="22">
        <v>30.03827651671374</v>
      </c>
      <c r="C47" s="22">
        <v>30.567061104562342</v>
      </c>
      <c r="D47" s="22">
        <v>28.047650272035881</v>
      </c>
      <c r="E47" s="10"/>
    </row>
    <row r="48" spans="1:6" x14ac:dyDescent="0.15">
      <c r="A48" s="13">
        <v>144</v>
      </c>
      <c r="B48" s="22">
        <v>29.887036312525211</v>
      </c>
      <c r="C48" s="22">
        <v>30.52041183991259</v>
      </c>
      <c r="D48" s="22">
        <v>28.097394038127231</v>
      </c>
      <c r="E48" s="10"/>
    </row>
    <row r="49" spans="1:5" x14ac:dyDescent="0.15">
      <c r="A49" s="13">
        <v>148</v>
      </c>
      <c r="B49" s="22">
        <v>29.752003722700028</v>
      </c>
      <c r="C49" s="22">
        <v>30.466351214153327</v>
      </c>
      <c r="D49" s="22">
        <v>28.166001510799145</v>
      </c>
      <c r="E49" s="10"/>
    </row>
    <row r="50" spans="1:5" x14ac:dyDescent="0.15">
      <c r="A50" s="13">
        <v>152</v>
      </c>
      <c r="B50" s="22">
        <v>29.6332604828849</v>
      </c>
      <c r="C50" s="22">
        <v>30.406699968214287</v>
      </c>
      <c r="D50" s="22">
        <v>28.250350361919228</v>
      </c>
      <c r="E50" s="10"/>
    </row>
    <row r="51" spans="1:5" x14ac:dyDescent="0.15">
      <c r="A51" s="13">
        <v>156</v>
      </c>
      <c r="B51" s="22">
        <v>29.530647524723445</v>
      </c>
      <c r="C51" s="22">
        <v>30.343135563142404</v>
      </c>
      <c r="D51" s="22">
        <v>28.347464842884492</v>
      </c>
      <c r="E51" s="10"/>
    </row>
    <row r="52" spans="1:5" x14ac:dyDescent="0.15">
      <c r="A52" s="13">
        <v>160</v>
      </c>
      <c r="B52" s="22">
        <v>29.44379574171203</v>
      </c>
      <c r="C52" s="22">
        <v>30.277185883818138</v>
      </c>
      <c r="D52" s="22">
        <v>28.454540111189033</v>
      </c>
      <c r="E52" s="10"/>
    </row>
    <row r="53" spans="1:5" x14ac:dyDescent="0.15">
      <c r="A53" s="13">
        <v>164</v>
      </c>
      <c r="B53" s="22">
        <v>29.372156052914107</v>
      </c>
      <c r="C53" s="22">
        <v>30.210225767132535</v>
      </c>
      <c r="D53" s="22">
        <v>28.568961296916719</v>
      </c>
      <c r="E53" s="10"/>
    </row>
    <row r="54" spans="1:5" x14ac:dyDescent="0.15">
      <c r="A54" s="13">
        <v>168</v>
      </c>
      <c r="B54" s="22">
        <v>29.315028427716591</v>
      </c>
      <c r="C54" s="22">
        <v>30.143476070012195</v>
      </c>
      <c r="D54" s="22">
        <v>28.688317663784087</v>
      </c>
      <c r="E54" s="10"/>
    </row>
    <row r="55" spans="1:5" x14ac:dyDescent="0.15">
      <c r="A55" s="13">
        <v>172</v>
      </c>
      <c r="B55" s="22">
        <v>29.271589589066974</v>
      </c>
      <c r="C55" s="22">
        <v>30.078004990793232</v>
      </c>
      <c r="D55" s="22">
        <v>28.810412246005207</v>
      </c>
      <c r="E55" s="10"/>
    </row>
    <row r="56" spans="1:5" x14ac:dyDescent="0.15">
      <c r="A56" s="13">
        <v>176</v>
      </c>
      <c r="B56" s="22">
        <v>29.240919164427844</v>
      </c>
      <c r="C56" s="22">
        <v>30.014731359783035</v>
      </c>
      <c r="D56" s="22">
        <v>28.933267360427564</v>
      </c>
      <c r="E56" s="10"/>
    </row>
    <row r="57" spans="1:5" x14ac:dyDescent="0.15">
      <c r="A57" s="13">
        <v>180</v>
      </c>
      <c r="B57" s="22">
        <v>29.222024102592762</v>
      </c>
      <c r="C57" s="22">
        <v>29.954429620878848</v>
      </c>
      <c r="D57" s="22">
        <v>29.055126403842252</v>
      </c>
      <c r="E57" s="10"/>
    </row>
    <row r="58" spans="1:5" x14ac:dyDescent="0.15">
      <c r="A58" s="13">
        <v>184</v>
      </c>
      <c r="B58" s="22">
        <v>29.213861220182466</v>
      </c>
      <c r="C58" s="22">
        <v>29.897736235315001</v>
      </c>
      <c r="D58" s="22">
        <v>29.174452348867874</v>
      </c>
      <c r="E58" s="10"/>
    </row>
    <row r="59" spans="1:5" x14ac:dyDescent="0.15">
      <c r="A59" s="13">
        <v>188</v>
      </c>
      <c r="B59" s="22">
        <v>29.215357783826516</v>
      </c>
      <c r="C59" s="22">
        <v>29.84515725048297</v>
      </c>
      <c r="D59" s="22">
        <v>29.289923349118421</v>
      </c>
      <c r="E59" s="10"/>
    </row>
    <row r="60" spans="1:5" x14ac:dyDescent="0.15">
      <c r="A60" s="13">
        <v>192</v>
      </c>
      <c r="B60" s="22">
        <v>29.225430072555628</v>
      </c>
      <c r="C60" s="22">
        <v>29.797076790829614</v>
      </c>
      <c r="D60" s="22">
        <v>29.400425856258153</v>
      </c>
      <c r="E60" s="10"/>
    </row>
    <row r="61" spans="1:5" x14ac:dyDescent="0.15">
      <c r="A61" s="13">
        <v>196</v>
      </c>
      <c r="B61" s="22">
        <v>29.242999899678619</v>
      </c>
      <c r="C61" s="22">
        <v>29.753766243634065</v>
      </c>
      <c r="D61" s="22">
        <v>29.505045638774124</v>
      </c>
      <c r="E61" s="10"/>
    </row>
    <row r="62" spans="1:5" x14ac:dyDescent="0.15">
      <c r="A62" s="13">
        <v>200</v>
      </c>
      <c r="B62" s="22">
        <v>29.267009104355143</v>
      </c>
      <c r="C62" s="22">
        <v>29.715393929567746</v>
      </c>
      <c r="D62" s="22">
        <v>29.603057075588225</v>
      </c>
      <c r="E62" s="10"/>
    </row>
    <row r="63" spans="1:5" x14ac:dyDescent="0.15">
      <c r="A63" s="13">
        <v>204</v>
      </c>
      <c r="B63" s="22">
        <v>29.2964320502189</v>
      </c>
      <c r="C63" s="22">
        <v>29.682035065961447</v>
      </c>
      <c r="D63" s="22">
        <v>29.693911077683403</v>
      </c>
    </row>
    <row r="64" spans="1:5" x14ac:dyDescent="0.15">
      <c r="A64" s="13">
        <v>208</v>
      </c>
      <c r="B64" s="22">
        <v>29.330286191824445</v>
      </c>
      <c r="C64" s="22">
        <v>29.653681849278644</v>
      </c>
      <c r="D64" s="22">
        <v>29.777221968393892</v>
      </c>
    </row>
    <row r="65" spans="1:4" x14ac:dyDescent="0.15">
      <c r="A65" s="13">
        <v>212</v>
      </c>
      <c r="B65" s="22">
        <v>29.367640789496814</v>
      </c>
      <c r="C65" s="22">
        <v>29.630253502100363</v>
      </c>
      <c r="D65" s="22">
        <v>29.85275362852553</v>
      </c>
    </row>
    <row r="66" spans="1:4" x14ac:dyDescent="0.15">
      <c r="A66" s="13">
        <v>216</v>
      </c>
      <c r="B66" s="22">
        <v>29.407623869506608</v>
      </c>
      <c r="C66" s="22">
        <v>29.611606148673818</v>
      </c>
      <c r="D66" s="22">
        <v>29.920405186602618</v>
      </c>
    </row>
    <row r="67" spans="1:4" x14ac:dyDescent="0.15">
      <c r="A67" s="13">
        <v>220</v>
      </c>
      <c r="B67" s="22">
        <v>29.449427539554275</v>
      </c>
      <c r="C67" s="22">
        <v>29.597542401510243</v>
      </c>
      <c r="D67" s="22">
        <v>29.980196507807282</v>
      </c>
    </row>
    <row r="68" spans="1:4" x14ac:dyDescent="0.15">
      <c r="A68" s="13">
        <v>224</v>
      </c>
      <c r="B68" s="22">
        <v>29.492311779531292</v>
      </c>
      <c r="C68" s="22">
        <v>29.587820559416123</v>
      </c>
      <c r="D68" s="22">
        <v>30.03225370806053</v>
      </c>
    </row>
    <row r="69" spans="1:4" x14ac:dyDescent="0.15">
      <c r="A69" s="13">
        <v>228</v>
      </c>
      <c r="B69" s="22">
        <v>29.535606834656306</v>
      </c>
      <c r="C69" s="22">
        <v>29.582163334519738</v>
      </c>
      <c r="D69" s="22">
        <v>30.076794892615748</v>
      </c>
    </row>
    <row r="70" spans="1:4" x14ac:dyDescent="0.15">
      <c r="A70" s="13">
        <v>232</v>
      </c>
      <c r="B70" s="22">
        <v>29.578714342598456</v>
      </c>
      <c r="C70" s="22">
        <v>29.580266042156676</v>
      </c>
      <c r="D70" s="22">
        <v>30.114116291868491</v>
      </c>
    </row>
    <row r="71" spans="1:4" x14ac:dyDescent="0.15">
      <c r="A71" s="13">
        <v>236</v>
      </c>
      <c r="B71" s="22">
        <v>29.621107328343523</v>
      </c>
      <c r="C71" s="22">
        <v>29.581804202779509</v>
      </c>
      <c r="D71" s="22">
        <v>30.144578941155313</v>
      </c>
    </row>
    <row r="72" spans="1:4" x14ac:dyDescent="0.15">
      <c r="A72" s="13">
        <v>240</v>
      </c>
      <c r="B72" s="22">
        <v>29.662329200581503</v>
      </c>
      <c r="C72" s="22">
        <v>29.586440519262453</v>
      </c>
      <c r="D72" s="22">
        <v>30.16859602639396</v>
      </c>
    </row>
    <row r="73" spans="1:4" x14ac:dyDescent="0.15">
      <c r="A73" s="13">
        <v>244</v>
      </c>
      <c r="B73" s="22">
        <v>29.701991881546093</v>
      </c>
      <c r="C73" s="22">
        <v>29.59383120601272</v>
      </c>
      <c r="D73" s="22">
        <v>30.186620993736479</v>
      </c>
    </row>
    <row r="74" spans="1:4" x14ac:dyDescent="0.15">
      <c r="A74" s="13">
        <v>248</v>
      </c>
      <c r="B74" s="22">
        <v>29.739773198764599</v>
      </c>
      <c r="C74" s="22">
        <v>29.603631658131398</v>
      </c>
      <c r="D74" s="22">
        <v>30.199136499149983</v>
      </c>
    </row>
    <row r="75" spans="1:4" x14ac:dyDescent="0.15">
      <c r="A75" s="13"/>
      <c r="B75" s="22"/>
      <c r="C75" s="22"/>
      <c r="D75" s="22"/>
    </row>
    <row r="76" spans="1:4" x14ac:dyDescent="0.15">
      <c r="A76" s="13"/>
      <c r="B76" s="22"/>
      <c r="C76" s="22"/>
      <c r="D76" s="22"/>
    </row>
    <row r="77" spans="1:4" x14ac:dyDescent="0.15">
      <c r="A77" s="13"/>
      <c r="B77" s="22"/>
      <c r="C77" s="22"/>
      <c r="D77" s="22"/>
    </row>
    <row r="78" spans="1:4" x14ac:dyDescent="0.15">
      <c r="A78" s="13"/>
      <c r="B78" s="22"/>
      <c r="C78" s="22"/>
      <c r="D78" s="22"/>
    </row>
    <row r="79" spans="1:4" x14ac:dyDescent="0.15">
      <c r="A79" s="13"/>
      <c r="B79" s="22"/>
      <c r="C79" s="22"/>
      <c r="D79" s="22"/>
    </row>
    <row r="80" spans="1:4" x14ac:dyDescent="0.15">
      <c r="A80" s="13"/>
      <c r="B80" s="22"/>
      <c r="C80" s="22"/>
      <c r="D80" s="22"/>
    </row>
    <row r="81" spans="1:4" x14ac:dyDescent="0.15">
      <c r="A81" s="13"/>
      <c r="B81" s="22"/>
      <c r="C81" s="22"/>
      <c r="D81" s="22"/>
    </row>
    <row r="82" spans="1:4" x14ac:dyDescent="0.15">
      <c r="A82" s="13"/>
      <c r="B82" s="22"/>
      <c r="C82" s="22"/>
      <c r="D82" s="22"/>
    </row>
    <row r="83" spans="1:4" x14ac:dyDescent="0.15">
      <c r="A83" s="13"/>
      <c r="B83" s="22"/>
      <c r="C83" s="22"/>
      <c r="D83" s="22"/>
    </row>
    <row r="84" spans="1:4" x14ac:dyDescent="0.15">
      <c r="A84" s="13"/>
      <c r="B84" s="22"/>
      <c r="C84" s="22"/>
      <c r="D84" s="22"/>
    </row>
    <row r="85" spans="1:4" x14ac:dyDescent="0.15">
      <c r="A85" s="13"/>
      <c r="B85" s="22"/>
      <c r="C85" s="22"/>
      <c r="D85" s="22"/>
    </row>
    <row r="86" spans="1:4" x14ac:dyDescent="0.15">
      <c r="A86" s="13"/>
      <c r="B86" s="22"/>
      <c r="C86" s="22"/>
      <c r="D86" s="22"/>
    </row>
    <row r="87" spans="1:4" x14ac:dyDescent="0.15">
      <c r="A87" s="13"/>
      <c r="B87" s="22"/>
      <c r="C87" s="22"/>
      <c r="D87" s="22"/>
    </row>
    <row r="88" spans="1:4" x14ac:dyDescent="0.15">
      <c r="A88" s="13"/>
      <c r="B88" s="22"/>
      <c r="C88" s="22"/>
      <c r="D88" s="22"/>
    </row>
    <row r="89" spans="1:4" x14ac:dyDescent="0.15">
      <c r="A89" s="13"/>
      <c r="B89" s="22"/>
      <c r="C89" s="22"/>
      <c r="D89" s="22"/>
    </row>
    <row r="90" spans="1:4" x14ac:dyDescent="0.15">
      <c r="A90" s="13"/>
      <c r="B90" s="22"/>
      <c r="C90" s="22"/>
      <c r="D90" s="22"/>
    </row>
    <row r="91" spans="1:4" x14ac:dyDescent="0.15">
      <c r="A91" s="13"/>
      <c r="B91" s="22"/>
      <c r="C91" s="22"/>
      <c r="D91" s="22"/>
    </row>
    <row r="92" spans="1:4" x14ac:dyDescent="0.15">
      <c r="A92" s="13"/>
      <c r="B92" s="22"/>
      <c r="C92" s="22"/>
      <c r="D92" s="22"/>
    </row>
    <row r="93" spans="1:4" x14ac:dyDescent="0.15">
      <c r="A93" s="13"/>
      <c r="B93" s="22"/>
      <c r="C93" s="22"/>
      <c r="D93" s="22"/>
    </row>
    <row r="94" spans="1:4" x14ac:dyDescent="0.15">
      <c r="A94" s="13"/>
      <c r="B94" s="22"/>
      <c r="C94" s="22"/>
      <c r="D94" s="22"/>
    </row>
    <row r="95" spans="1:4" x14ac:dyDescent="0.15">
      <c r="A95" s="13"/>
      <c r="B95" s="22"/>
      <c r="C95" s="22"/>
      <c r="D95" s="22"/>
    </row>
    <row r="96" spans="1:4" x14ac:dyDescent="0.15">
      <c r="A96" s="13"/>
      <c r="B96" s="22"/>
      <c r="C96" s="22"/>
      <c r="D96" s="22"/>
    </row>
    <row r="97" spans="1:4" x14ac:dyDescent="0.15">
      <c r="A97" s="13"/>
      <c r="B97" s="22"/>
      <c r="C97" s="22"/>
      <c r="D97" s="22"/>
    </row>
    <row r="98" spans="1:4" x14ac:dyDescent="0.15">
      <c r="A98" s="13"/>
      <c r="B98" s="22"/>
      <c r="C98" s="22"/>
      <c r="D98" s="22"/>
    </row>
    <row r="99" spans="1:4" x14ac:dyDescent="0.15">
      <c r="A99" s="13"/>
      <c r="B99" s="22"/>
      <c r="C99" s="22"/>
      <c r="D99" s="22"/>
    </row>
    <row r="100" spans="1:4" x14ac:dyDescent="0.15">
      <c r="A100" s="13"/>
      <c r="B100" s="22"/>
      <c r="C100" s="22"/>
      <c r="D100" s="22"/>
    </row>
    <row r="101" spans="1:4" x14ac:dyDescent="0.15">
      <c r="A101" s="13"/>
      <c r="B101" s="22"/>
      <c r="C101" s="22"/>
      <c r="D101" s="22"/>
    </row>
    <row r="102" spans="1:4" x14ac:dyDescent="0.15">
      <c r="A102" s="13"/>
      <c r="B102" s="22"/>
      <c r="C102" s="22"/>
      <c r="D102" s="22"/>
    </row>
    <row r="103" spans="1:4" x14ac:dyDescent="0.15">
      <c r="A103" s="13"/>
      <c r="B103" s="22"/>
      <c r="C103" s="22"/>
      <c r="D103" s="22"/>
    </row>
    <row r="104" spans="1:4" x14ac:dyDescent="0.15">
      <c r="B104" s="18"/>
      <c r="C104" s="18"/>
      <c r="D104" s="18"/>
    </row>
    <row r="105" spans="1:4" x14ac:dyDescent="0.15">
      <c r="B105" s="18"/>
      <c r="C105" s="18"/>
      <c r="D105" s="18"/>
    </row>
    <row r="106" spans="1:4" x14ac:dyDescent="0.15">
      <c r="B106" s="18"/>
      <c r="C106" s="18"/>
      <c r="D106" s="18"/>
    </row>
    <row r="107" spans="1:4" x14ac:dyDescent="0.15">
      <c r="B107" s="18"/>
      <c r="C107" s="18"/>
      <c r="D107" s="18"/>
    </row>
    <row r="108" spans="1:4" x14ac:dyDescent="0.15">
      <c r="B108" s="18"/>
      <c r="C108" s="18"/>
      <c r="D108" s="18"/>
    </row>
    <row r="109" spans="1:4" x14ac:dyDescent="0.15">
      <c r="B109" s="18"/>
      <c r="C109" s="18"/>
      <c r="D109" s="18"/>
    </row>
    <row r="110" spans="1:4" x14ac:dyDescent="0.15">
      <c r="B110" s="18"/>
      <c r="C110" s="18"/>
      <c r="D110" s="18"/>
    </row>
    <row r="111" spans="1:4" x14ac:dyDescent="0.15">
      <c r="B111" s="18"/>
      <c r="C111" s="18"/>
      <c r="D111" s="18"/>
    </row>
    <row r="112" spans="1:4" x14ac:dyDescent="0.15">
      <c r="B112" s="18"/>
      <c r="C112" s="18"/>
      <c r="D112" s="18"/>
    </row>
    <row r="113" spans="2:4" x14ac:dyDescent="0.15">
      <c r="B113" s="18"/>
      <c r="C113" s="18"/>
      <c r="D113" s="18"/>
    </row>
    <row r="114" spans="2:4" x14ac:dyDescent="0.15">
      <c r="B114" s="18"/>
      <c r="C114" s="18"/>
      <c r="D114" s="18"/>
    </row>
    <row r="115" spans="2:4" x14ac:dyDescent="0.15">
      <c r="B115" s="18"/>
      <c r="C115" s="18"/>
      <c r="D115" s="18"/>
    </row>
    <row r="116" spans="2:4" x14ac:dyDescent="0.15">
      <c r="B116" s="18"/>
      <c r="C116" s="18"/>
      <c r="D116" s="18"/>
    </row>
    <row r="117" spans="2:4" x14ac:dyDescent="0.15">
      <c r="B117" s="18"/>
      <c r="C117" s="18"/>
      <c r="D117" s="18"/>
    </row>
    <row r="118" spans="2:4" x14ac:dyDescent="0.15">
      <c r="B118" s="18"/>
      <c r="C118" s="18"/>
      <c r="D118" s="18"/>
    </row>
    <row r="119" spans="2:4" x14ac:dyDescent="0.15">
      <c r="B119" s="18"/>
      <c r="C119" s="18"/>
      <c r="D119" s="18"/>
    </row>
    <row r="120" spans="2:4" x14ac:dyDescent="0.15">
      <c r="B120" s="18"/>
      <c r="C120" s="18"/>
      <c r="D120" s="18"/>
    </row>
    <row r="121" spans="2:4" x14ac:dyDescent="0.15">
      <c r="B121" s="18"/>
      <c r="C121" s="18"/>
      <c r="D121" s="18"/>
    </row>
    <row r="122" spans="2:4" x14ac:dyDescent="0.15">
      <c r="B122" s="18"/>
      <c r="C122" s="18"/>
      <c r="D122" s="18"/>
    </row>
    <row r="123" spans="2:4" x14ac:dyDescent="0.15">
      <c r="B123" s="18"/>
      <c r="C123" s="18"/>
      <c r="D123" s="18"/>
    </row>
    <row r="124" spans="2:4" x14ac:dyDescent="0.15">
      <c r="B124" s="18"/>
      <c r="C124" s="18"/>
      <c r="D124" s="18"/>
    </row>
    <row r="125" spans="2:4" x14ac:dyDescent="0.15">
      <c r="B125" s="18"/>
      <c r="C125" s="18"/>
      <c r="D125" s="18"/>
    </row>
    <row r="126" spans="2:4" x14ac:dyDescent="0.15">
      <c r="B126" s="18"/>
      <c r="C126" s="18"/>
      <c r="D126" s="18"/>
    </row>
    <row r="127" spans="2:4" x14ac:dyDescent="0.15">
      <c r="B127" s="18"/>
      <c r="C127" s="18"/>
      <c r="D127" s="18"/>
    </row>
    <row r="128" spans="2:4" x14ac:dyDescent="0.15">
      <c r="B128" s="18"/>
      <c r="C128" s="18"/>
      <c r="D128" s="18"/>
    </row>
    <row r="129" spans="2:4" x14ac:dyDescent="0.15">
      <c r="B129" s="18"/>
      <c r="C129" s="18"/>
      <c r="D129" s="18"/>
    </row>
    <row r="130" spans="2:4" x14ac:dyDescent="0.15">
      <c r="B130" s="18"/>
      <c r="C130" s="18"/>
      <c r="D130" s="18"/>
    </row>
    <row r="131" spans="2:4" x14ac:dyDescent="0.15">
      <c r="B131" s="18"/>
      <c r="C131" s="18"/>
      <c r="D131" s="18"/>
    </row>
    <row r="132" spans="2:4" x14ac:dyDescent="0.15">
      <c r="B132" s="18"/>
      <c r="C132" s="18"/>
      <c r="D132" s="18"/>
    </row>
    <row r="133" spans="2:4" x14ac:dyDescent="0.15">
      <c r="B133" s="18"/>
      <c r="C133" s="18"/>
      <c r="D133" s="18"/>
    </row>
    <row r="134" spans="2:4" x14ac:dyDescent="0.15">
      <c r="B134" s="18"/>
      <c r="C134" s="18"/>
      <c r="D134" s="18"/>
    </row>
    <row r="135" spans="2:4" x14ac:dyDescent="0.15">
      <c r="B135" s="18"/>
      <c r="C135" s="18"/>
      <c r="D135" s="18"/>
    </row>
    <row r="136" spans="2:4" x14ac:dyDescent="0.15">
      <c r="B136" s="18"/>
      <c r="C136" s="18"/>
      <c r="D136" s="18"/>
    </row>
    <row r="137" spans="2:4" x14ac:dyDescent="0.15">
      <c r="B137" s="18"/>
      <c r="C137" s="18"/>
      <c r="D137" s="18"/>
    </row>
    <row r="138" spans="2:4" x14ac:dyDescent="0.15">
      <c r="B138" s="18"/>
      <c r="C138" s="18"/>
      <c r="D138" s="18"/>
    </row>
    <row r="139" spans="2:4" x14ac:dyDescent="0.15">
      <c r="B139" s="18"/>
      <c r="C139" s="18"/>
      <c r="D139" s="18"/>
    </row>
    <row r="140" spans="2:4" x14ac:dyDescent="0.15">
      <c r="B140" s="18"/>
      <c r="C140" s="18"/>
      <c r="D140" s="18"/>
    </row>
    <row r="141" spans="2:4" x14ac:dyDescent="0.15">
      <c r="B141" s="18"/>
      <c r="C141" s="18"/>
      <c r="D141" s="18"/>
    </row>
    <row r="142" spans="2:4" x14ac:dyDescent="0.15">
      <c r="B142" s="18"/>
      <c r="C142" s="18"/>
      <c r="D142" s="18"/>
    </row>
    <row r="143" spans="2:4" x14ac:dyDescent="0.15">
      <c r="B143" s="18"/>
      <c r="C143" s="18"/>
      <c r="D143" s="18"/>
    </row>
    <row r="144" spans="2:4" x14ac:dyDescent="0.15">
      <c r="B144" s="18"/>
      <c r="C144" s="18"/>
      <c r="D144" s="18"/>
    </row>
    <row r="145" spans="2:4" x14ac:dyDescent="0.15">
      <c r="B145" s="18"/>
      <c r="C145" s="18"/>
      <c r="D145" s="18"/>
    </row>
    <row r="146" spans="2:4" x14ac:dyDescent="0.15">
      <c r="B146" s="18"/>
      <c r="C146" s="18"/>
      <c r="D146" s="18"/>
    </row>
    <row r="147" spans="2:4" x14ac:dyDescent="0.15">
      <c r="B147" s="18"/>
      <c r="C147" s="18"/>
      <c r="D147" s="18"/>
    </row>
    <row r="148" spans="2:4" x14ac:dyDescent="0.15">
      <c r="B148" s="18"/>
      <c r="C148" s="18"/>
      <c r="D148" s="18"/>
    </row>
    <row r="149" spans="2:4" x14ac:dyDescent="0.15">
      <c r="B149" s="18"/>
      <c r="C149" s="18"/>
      <c r="D149" s="18"/>
    </row>
    <row r="150" spans="2:4" x14ac:dyDescent="0.15">
      <c r="B150" s="18"/>
      <c r="C150" s="18"/>
      <c r="D150" s="18"/>
    </row>
    <row r="151" spans="2:4" x14ac:dyDescent="0.15">
      <c r="B151" s="18"/>
      <c r="C151" s="18"/>
      <c r="D151" s="18"/>
    </row>
    <row r="152" spans="2:4" x14ac:dyDescent="0.15">
      <c r="B152" s="18"/>
      <c r="C152" s="18"/>
      <c r="D152" s="18"/>
    </row>
    <row r="153" spans="2:4" x14ac:dyDescent="0.15">
      <c r="B153" s="18"/>
      <c r="C153" s="18"/>
      <c r="D153" s="18"/>
    </row>
    <row r="154" spans="2:4" x14ac:dyDescent="0.15">
      <c r="B154" s="18"/>
      <c r="C154" s="18"/>
      <c r="D154" s="18"/>
    </row>
    <row r="155" spans="2:4" x14ac:dyDescent="0.15">
      <c r="B155" s="18"/>
      <c r="C155" s="18"/>
      <c r="D155" s="18"/>
    </row>
    <row r="156" spans="2:4" x14ac:dyDescent="0.15">
      <c r="B156" s="18"/>
      <c r="C156" s="18"/>
      <c r="D156" s="18"/>
    </row>
    <row r="157" spans="2:4" x14ac:dyDescent="0.15">
      <c r="B157" s="18"/>
      <c r="C157" s="18"/>
      <c r="D157" s="18"/>
    </row>
    <row r="158" spans="2:4" x14ac:dyDescent="0.15">
      <c r="B158" s="18"/>
      <c r="C158" s="18"/>
      <c r="D158" s="18"/>
    </row>
    <row r="159" spans="2:4" x14ac:dyDescent="0.15">
      <c r="B159" s="18"/>
      <c r="C159" s="18"/>
      <c r="D159" s="18"/>
    </row>
    <row r="160" spans="2:4" x14ac:dyDescent="0.15">
      <c r="B160" s="18"/>
      <c r="C160" s="18"/>
      <c r="D160" s="18"/>
    </row>
    <row r="161" spans="2:4" x14ac:dyDescent="0.15">
      <c r="B161" s="18"/>
      <c r="C161" s="18"/>
      <c r="D161" s="18"/>
    </row>
    <row r="162" spans="2:4" x14ac:dyDescent="0.15">
      <c r="B162" s="18"/>
      <c r="C162" s="18"/>
      <c r="D162" s="18"/>
    </row>
    <row r="163" spans="2:4" x14ac:dyDescent="0.15">
      <c r="B163" s="18"/>
      <c r="C163" s="18"/>
      <c r="D163" s="18"/>
    </row>
    <row r="164" spans="2:4" x14ac:dyDescent="0.15">
      <c r="B164" s="18"/>
      <c r="C164" s="18"/>
      <c r="D164" s="18"/>
    </row>
    <row r="165" spans="2:4" x14ac:dyDescent="0.15">
      <c r="B165" s="18"/>
      <c r="C165" s="18"/>
      <c r="D165" s="18"/>
    </row>
    <row r="166" spans="2:4" x14ac:dyDescent="0.15">
      <c r="B166" s="18"/>
      <c r="C166" s="18"/>
      <c r="D166" s="18"/>
    </row>
    <row r="167" spans="2:4" x14ac:dyDescent="0.15">
      <c r="B167" s="18"/>
      <c r="C167" s="18"/>
      <c r="D167" s="18"/>
    </row>
    <row r="168" spans="2:4" x14ac:dyDescent="0.15">
      <c r="B168" s="18"/>
      <c r="C168" s="18"/>
      <c r="D168" s="18"/>
    </row>
    <row r="169" spans="2:4" x14ac:dyDescent="0.15">
      <c r="B169" s="18"/>
      <c r="C169" s="18"/>
      <c r="D169" s="18"/>
    </row>
    <row r="170" spans="2:4" x14ac:dyDescent="0.15">
      <c r="B170" s="18"/>
      <c r="C170" s="18"/>
      <c r="D170" s="18"/>
    </row>
    <row r="171" spans="2:4" x14ac:dyDescent="0.15">
      <c r="B171" s="18"/>
      <c r="C171" s="18"/>
      <c r="D171" s="18"/>
    </row>
    <row r="172" spans="2:4" x14ac:dyDescent="0.15">
      <c r="B172" s="18"/>
      <c r="C172" s="18"/>
      <c r="D172" s="18"/>
    </row>
    <row r="173" spans="2:4" x14ac:dyDescent="0.15">
      <c r="B173" s="18"/>
      <c r="C173" s="18"/>
      <c r="D173" s="18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111318</xdr:colOff>
                    <xdr:row>5</xdr:row>
                    <xdr:rowOff>111318</xdr:rowOff>
                  </from>
                  <to>
                    <xdr:col>3</xdr:col>
                    <xdr:colOff>461176</xdr:colOff>
                    <xdr:row>7</xdr:row>
                    <xdr:rowOff>103367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例題1.12 2次遅れ要素比例積分制御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2017-02-03T06:52:58Z</dcterms:modified>
</cp:coreProperties>
</file>